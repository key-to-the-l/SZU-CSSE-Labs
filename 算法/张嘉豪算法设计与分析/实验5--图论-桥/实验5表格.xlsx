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047\Desktop\"/>
    </mc:Choice>
  </mc:AlternateContent>
  <xr:revisionPtr revIDLastSave="0" documentId="8_{F3810383-7952-465B-B732-B56BC3B9CC64}" xr6:coauthVersionLast="47" xr6:coauthVersionMax="47" xr10:uidLastSave="{00000000-0000-0000-0000-000000000000}"/>
  <bookViews>
    <workbookView xWindow="6930" yWindow="1230" windowWidth="21600" windowHeight="11835" xr2:uid="{B9C7E0AE-C121-4362-AF66-AC3D368B3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9" i="1" l="1"/>
  <c r="E59" i="1" s="1"/>
  <c r="C59" i="1"/>
  <c r="C58" i="1"/>
  <c r="C57" i="1"/>
  <c r="C56" i="1"/>
  <c r="D42" i="1"/>
  <c r="E42" i="1" s="1"/>
  <c r="D51" i="1"/>
  <c r="E51" i="1" s="1"/>
  <c r="C51" i="1"/>
  <c r="C50" i="1"/>
  <c r="C49" i="1"/>
  <c r="C48" i="1"/>
  <c r="D43" i="1"/>
  <c r="D41" i="1" s="1"/>
  <c r="C43" i="1"/>
  <c r="C42" i="1"/>
  <c r="C41" i="1"/>
  <c r="C40" i="1"/>
  <c r="D36" i="1"/>
  <c r="E36" i="1" s="1"/>
  <c r="C36" i="1"/>
  <c r="C35" i="1"/>
  <c r="C34" i="1"/>
  <c r="C33" i="1"/>
  <c r="D29" i="1"/>
  <c r="E29" i="1" s="1"/>
  <c r="D28" i="1"/>
  <c r="E28" i="1" s="1"/>
  <c r="C29" i="1"/>
  <c r="C28" i="1"/>
  <c r="C27" i="1"/>
  <c r="C26" i="1"/>
  <c r="D22" i="1"/>
  <c r="E22" i="1" s="1"/>
  <c r="E20" i="1"/>
  <c r="E21" i="1"/>
  <c r="E19" i="1"/>
  <c r="C20" i="1"/>
  <c r="C21" i="1"/>
  <c r="C22" i="1"/>
  <c r="C19" i="1"/>
  <c r="D27" i="1" l="1"/>
  <c r="D26" i="1"/>
  <c r="D40" i="1"/>
  <c r="D50" i="1"/>
  <c r="D35" i="1"/>
  <c r="D56" i="1"/>
  <c r="E56" i="1" s="1"/>
  <c r="D57" i="1"/>
  <c r="E57" i="1" s="1"/>
  <c r="D58" i="1"/>
  <c r="E58" i="1" s="1"/>
  <c r="E43" i="1"/>
  <c r="E40" i="1"/>
  <c r="E41" i="1"/>
  <c r="E50" i="1" l="1"/>
  <c r="D49" i="1"/>
  <c r="E35" i="1"/>
  <c r="D34" i="1"/>
  <c r="E26" i="1"/>
  <c r="E27" i="1"/>
  <c r="E34" i="1" l="1"/>
  <c r="D33" i="1"/>
  <c r="E33" i="1" s="1"/>
  <c r="D48" i="1"/>
  <c r="E48" i="1" s="1"/>
  <c r="E49" i="1"/>
</calcChain>
</file>

<file path=xl/sharedStrings.xml><?xml version="1.0" encoding="utf-8"?>
<sst xmlns="http://schemas.openxmlformats.org/spreadsheetml/2006/main" count="58" uniqueCount="28">
  <si>
    <t>基准法与高效算法对比</t>
    <phoneticPr fontId="1" type="noConversion"/>
  </si>
  <si>
    <t>基准法</t>
    <phoneticPr fontId="1" type="noConversion"/>
  </si>
  <si>
    <t>基准法+并查集</t>
    <phoneticPr fontId="1" type="noConversion"/>
  </si>
  <si>
    <t>并查集+LCA</t>
    <phoneticPr fontId="1" type="noConversion"/>
  </si>
  <si>
    <t>mediumG</t>
    <phoneticPr fontId="1" type="noConversion"/>
  </si>
  <si>
    <t>largeG</t>
    <phoneticPr fontId="1" type="noConversion"/>
  </si>
  <si>
    <t>简单图</t>
    <phoneticPr fontId="1" type="noConversion"/>
  </si>
  <si>
    <t>NULL</t>
    <phoneticPr fontId="1" type="noConversion"/>
  </si>
  <si>
    <t>1ms</t>
    <phoneticPr fontId="1" type="noConversion"/>
  </si>
  <si>
    <t>2.24ms</t>
    <phoneticPr fontId="1" type="noConversion"/>
  </si>
  <si>
    <t>529ms</t>
    <phoneticPr fontId="1" type="noConversion"/>
  </si>
  <si>
    <t>1.85ms</t>
    <phoneticPr fontId="1" type="noConversion"/>
  </si>
  <si>
    <t>346ms</t>
    <phoneticPr fontId="1" type="noConversion"/>
  </si>
  <si>
    <t>12.31ms</t>
    <phoneticPr fontId="1" type="noConversion"/>
  </si>
  <si>
    <t>1302ms</t>
    <phoneticPr fontId="1" type="noConversion"/>
  </si>
  <si>
    <t>实际时间</t>
    <phoneticPr fontId="1" type="noConversion"/>
  </si>
  <si>
    <t>理论时间</t>
    <phoneticPr fontId="1" type="noConversion"/>
  </si>
  <si>
    <t>100</t>
    <phoneticPr fontId="1" type="noConversion"/>
  </si>
  <si>
    <t>基准法稀疏图/ms</t>
    <phoneticPr fontId="1" type="noConversion"/>
  </si>
  <si>
    <t>10</t>
    <phoneticPr fontId="1" type="noConversion"/>
  </si>
  <si>
    <t>规模n</t>
    <phoneticPr fontId="1" type="noConversion"/>
  </si>
  <si>
    <t>lg理论</t>
    <phoneticPr fontId="1" type="noConversion"/>
  </si>
  <si>
    <t>lg实际</t>
    <phoneticPr fontId="1" type="noConversion"/>
  </si>
  <si>
    <t>基准法稠密图/ms</t>
    <phoneticPr fontId="1" type="noConversion"/>
  </si>
  <si>
    <t>基准法+并查集稀疏图/ms</t>
    <phoneticPr fontId="1" type="noConversion"/>
  </si>
  <si>
    <t>基准法+并查集稠密图/ms</t>
    <phoneticPr fontId="1" type="noConversion"/>
  </si>
  <si>
    <t>并查集+LCA稀疏图/ms</t>
    <phoneticPr fontId="1" type="noConversion"/>
  </si>
  <si>
    <t>并查集+LCA稠密图/ms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</si>
</sst>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基准法稀疏图理论与实践对比图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Sheet1!$C$18</c:f>
              <c:strCache>
                <c:ptCount val="1"/>
                <c:pt idx="0">
                  <c:v>lg实际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Sheet1!$A$19:$A$22</c:f>
              <c:strCach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strCache>
            </c:strRef>
          </c:xVal>
          <c:yVal>
            <c:numRef>
              <c:f>Sheet1!$C$19:$C$22</c:f>
              <c:numCache>
                <c:formatCode>General</c:formatCode>
                <c:ptCount val="4"/>
                <c:pt idx="0">
                  <c:v>-1.3010299956639813</c:v>
                </c:pt>
                <c:pt idx="1">
                  <c:v>0.62324929039790045</c:v>
                </c:pt>
                <c:pt idx="2">
                  <c:v>2.5078558716958308</c:v>
                </c:pt>
                <c:pt idx="3">
                  <c:v>4.4129978328700536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D7-4DBC-AF9A-0C16BCD006DA}"/>
            </c:ext>
          </c:extLst>
        </c:ser>
        <c:ser>
          <c:idx val="1"/>
          <c:order val="1"/>
          <c:tx>
            <c:strRef>
              <c:f>Sheet1!$E$18</c:f>
              <c:strCache>
                <c:ptCount val="1"/>
                <c:pt idx="0">
                  <c:v>lg理论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Sheet1!$A$19:$A$22</c:f>
              <c:strCach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strCache>
            </c:strRef>
          </c:xVal>
          <c:yVal>
            <c:numRef>
              <c:f>Sheet1!$E$19:$E$22</c:f>
              <c:numCache>
                <c:formatCode>General</c:formatCode>
                <c:ptCount val="4"/>
                <c:pt idx="0">
                  <c:v>-1.5870021671299459</c:v>
                </c:pt>
                <c:pt idx="1">
                  <c:v>0.41299783287005404</c:v>
                </c:pt>
                <c:pt idx="2">
                  <c:v>2.4129978328700541</c:v>
                </c:pt>
                <c:pt idx="3">
                  <c:v>4.4129978328700536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D7-4DBC-AF9A-0C16BCD00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971792"/>
        <c:axId val="204966384"/>
      </c:scatterChart>
      <c:valAx>
        <c:axId val="20497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966384"/>
        <c:crosses val="autoZero"/>
        <c:crossBetween val="midCat"/>
      </c:valAx>
      <c:valAx>
        <c:axId val="20496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971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effectLst/>
              </a:rPr>
              <a:t>基准法</a:t>
            </a:r>
            <a:r>
              <a:rPr lang="zh-CN" altLang="en-US" sz="1800" b="0" i="0" baseline="0">
                <a:effectLst/>
              </a:rPr>
              <a:t>稠密图</a:t>
            </a:r>
            <a:r>
              <a:rPr lang="zh-CN" altLang="zh-CN" sz="1800" b="0" i="0" baseline="0">
                <a:effectLst/>
              </a:rPr>
              <a:t>理论与实践对比图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Sheet1!$C$25</c:f>
              <c:strCache>
                <c:ptCount val="1"/>
                <c:pt idx="0">
                  <c:v>lg实际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Sheet1!$A$26:$A$29</c:f>
              <c:strCache>
                <c:ptCount val="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</c:strCache>
            </c:strRef>
          </c:xVal>
          <c:yVal>
            <c:numRef>
              <c:f>Sheet1!$C$26:$C$29</c:f>
              <c:numCache>
                <c:formatCode>General</c:formatCode>
                <c:ptCount val="4"/>
                <c:pt idx="0">
                  <c:v>2.4608978427565478</c:v>
                </c:pt>
                <c:pt idx="1">
                  <c:v>3.7402047355074495</c:v>
                </c:pt>
                <c:pt idx="2">
                  <c:v>4.5341403790424284</c:v>
                </c:pt>
                <c:pt idx="3">
                  <c:v>5.1158300993373143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85-4A79-8DCD-E8B11B9BA7A3}"/>
            </c:ext>
          </c:extLst>
        </c:ser>
        <c:ser>
          <c:idx val="1"/>
          <c:order val="1"/>
          <c:tx>
            <c:strRef>
              <c:f>Sheet1!$E$25</c:f>
              <c:strCache>
                <c:ptCount val="1"/>
                <c:pt idx="0">
                  <c:v>lg理论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Sheet1!$A$26:$A$29</c:f>
              <c:strCache>
                <c:ptCount val="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</c:strCache>
            </c:strRef>
          </c:xVal>
          <c:yVal>
            <c:numRef>
              <c:f>Sheet1!$E$26:$E$29</c:f>
              <c:numCache>
                <c:formatCode>General</c:formatCode>
                <c:ptCount val="4"/>
                <c:pt idx="0">
                  <c:v>2.7075901340254647</c:v>
                </c:pt>
                <c:pt idx="1">
                  <c:v>3.9117101166813892</c:v>
                </c:pt>
                <c:pt idx="2">
                  <c:v>4.6160751529041146</c:v>
                </c:pt>
                <c:pt idx="3">
                  <c:v>5.1158300993373143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85-4A79-8DCD-E8B11B9BA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62368"/>
        <c:axId val="132064864"/>
      </c:scatterChart>
      <c:valAx>
        <c:axId val="13206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064864"/>
        <c:crosses val="autoZero"/>
        <c:crossBetween val="midCat"/>
      </c:valAx>
      <c:valAx>
        <c:axId val="13206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062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baseline="0">
                <a:effectLst/>
              </a:rPr>
              <a:t>基准</a:t>
            </a:r>
            <a:r>
              <a:rPr lang="en-US" altLang="zh-CN" sz="1400" b="0" i="0" baseline="0">
                <a:effectLst/>
              </a:rPr>
              <a:t>+</a:t>
            </a:r>
            <a:r>
              <a:rPr lang="zh-CN" altLang="en-US" sz="1400" b="0" i="0" baseline="0">
                <a:effectLst/>
              </a:rPr>
              <a:t>并查集法</a:t>
            </a:r>
            <a:r>
              <a:rPr lang="zh-CN" altLang="zh-CN" sz="1400" b="0" i="0" baseline="0">
                <a:effectLst/>
              </a:rPr>
              <a:t>稀疏图理论与实践对比图</a:t>
            </a:r>
            <a:endParaRPr lang="zh-CN" altLang="zh-CN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Sheet1!$C$32</c:f>
              <c:strCache>
                <c:ptCount val="1"/>
                <c:pt idx="0">
                  <c:v>lg实际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Sheet1!$A$33:$A$36</c:f>
              <c:strCach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strCache>
            </c:strRef>
          </c:xVal>
          <c:yVal>
            <c:numRef>
              <c:f>Sheet1!$C$33:$C$36</c:f>
              <c:numCache>
                <c:formatCode>General</c:formatCode>
                <c:ptCount val="4"/>
                <c:pt idx="0">
                  <c:v>-1.0969100130080565</c:v>
                </c:pt>
                <c:pt idx="1">
                  <c:v>0.47712125471966244</c:v>
                </c:pt>
                <c:pt idx="2">
                  <c:v>2.5717088318086878</c:v>
                </c:pt>
                <c:pt idx="3">
                  <c:v>4.6413749451921253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25-4136-ABDE-07BC0BAE7A0A}"/>
            </c:ext>
          </c:extLst>
        </c:ser>
        <c:ser>
          <c:idx val="1"/>
          <c:order val="1"/>
          <c:tx>
            <c:strRef>
              <c:f>Sheet1!$E$32</c:f>
              <c:strCache>
                <c:ptCount val="1"/>
                <c:pt idx="0">
                  <c:v>lg理论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Sheet1!$A$33:$A$36</c:f>
              <c:strCach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strCache>
            </c:strRef>
          </c:xVal>
          <c:yVal>
            <c:numRef>
              <c:f>Sheet1!$E$33:$E$36</c:f>
              <c:numCache>
                <c:formatCode>General</c:formatCode>
                <c:ptCount val="4"/>
                <c:pt idx="0">
                  <c:v>-1.3586250548078744</c:v>
                </c:pt>
                <c:pt idx="1">
                  <c:v>0.64137494519212546</c:v>
                </c:pt>
                <c:pt idx="2">
                  <c:v>2.6413749451921253</c:v>
                </c:pt>
                <c:pt idx="3">
                  <c:v>4.6413749451921253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25-4136-ABDE-07BC0BAE7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98976"/>
        <c:axId val="117896064"/>
      </c:scatterChart>
      <c:valAx>
        <c:axId val="11789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896064"/>
        <c:crosses val="autoZero"/>
        <c:crossBetween val="midCat"/>
      </c:valAx>
      <c:valAx>
        <c:axId val="11789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898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baseline="0">
                <a:effectLst/>
              </a:rPr>
              <a:t>基准</a:t>
            </a:r>
            <a:r>
              <a:rPr lang="en-US" altLang="zh-CN" sz="1400" b="0" i="0" baseline="0">
                <a:effectLst/>
              </a:rPr>
              <a:t>+</a:t>
            </a:r>
            <a:r>
              <a:rPr lang="zh-CN" altLang="zh-CN" sz="1400" b="0" i="0" baseline="0">
                <a:effectLst/>
              </a:rPr>
              <a:t>并查集法</a:t>
            </a:r>
            <a:r>
              <a:rPr lang="zh-CN" altLang="en-US" sz="1400" b="0" i="0" baseline="0">
                <a:effectLst/>
              </a:rPr>
              <a:t>稠密</a:t>
            </a:r>
            <a:r>
              <a:rPr lang="zh-CN" altLang="zh-CN" sz="1400" b="0" i="0" baseline="0">
                <a:effectLst/>
              </a:rPr>
              <a:t>图理论与实践对比图</a:t>
            </a:r>
            <a:endParaRPr lang="zh-CN" altLang="zh-CN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Sheet1!$C$39</c:f>
              <c:strCache>
                <c:ptCount val="1"/>
                <c:pt idx="0">
                  <c:v>lg实际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Sheet1!$A$40:$A$43</c:f>
              <c:strCache>
                <c:ptCount val="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</c:strCache>
            </c:strRef>
          </c:xVal>
          <c:yVal>
            <c:numRef>
              <c:f>Sheet1!$C$40:$C$43</c:f>
              <c:numCache>
                <c:formatCode>General</c:formatCode>
                <c:ptCount val="4"/>
                <c:pt idx="0">
                  <c:v>2.7558748556724915</c:v>
                </c:pt>
                <c:pt idx="1">
                  <c:v>3.9106404105333952</c:v>
                </c:pt>
                <c:pt idx="2">
                  <c:v>4.5923100242557791</c:v>
                </c:pt>
                <c:pt idx="3">
                  <c:v>5.1926622184292075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10-4977-93C2-BD5CC9B4B8F5}"/>
            </c:ext>
          </c:extLst>
        </c:ser>
        <c:ser>
          <c:idx val="1"/>
          <c:order val="1"/>
          <c:tx>
            <c:strRef>
              <c:f>Sheet1!$E$39</c:f>
              <c:strCache>
                <c:ptCount val="1"/>
                <c:pt idx="0">
                  <c:v>lg理论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Sheet1!$A$40:$A$43</c:f>
              <c:strCache>
                <c:ptCount val="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</c:strCache>
            </c:strRef>
          </c:xVal>
          <c:yVal>
            <c:numRef>
              <c:f>Sheet1!$E$40:$E$43</c:f>
              <c:numCache>
                <c:formatCode>General</c:formatCode>
                <c:ptCount val="4"/>
                <c:pt idx="0">
                  <c:v>2.7844222531173579</c:v>
                </c:pt>
                <c:pt idx="1">
                  <c:v>3.9885422357732829</c:v>
                </c:pt>
                <c:pt idx="2">
                  <c:v>4.6929072719960079</c:v>
                </c:pt>
                <c:pt idx="3">
                  <c:v>5.1926622184292075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10-4977-93C2-BD5CC9B4B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898400"/>
        <c:axId val="225892576"/>
      </c:scatterChart>
      <c:valAx>
        <c:axId val="22589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5892576"/>
        <c:crosses val="autoZero"/>
        <c:crossBetween val="midCat"/>
      </c:valAx>
      <c:valAx>
        <c:axId val="22589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589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baseline="0">
                <a:effectLst/>
              </a:rPr>
              <a:t>并查集</a:t>
            </a:r>
            <a:r>
              <a:rPr lang="en-US" altLang="zh-CN" sz="1400" b="0" i="0" baseline="0">
                <a:effectLst/>
              </a:rPr>
              <a:t>+LCA</a:t>
            </a:r>
            <a:r>
              <a:rPr lang="zh-CN" altLang="en-US" sz="1400" b="0" i="0" baseline="0">
                <a:effectLst/>
              </a:rPr>
              <a:t>稀疏图</a:t>
            </a:r>
            <a:r>
              <a:rPr lang="zh-CN" altLang="zh-CN" sz="1400" b="0" i="0" baseline="0">
                <a:effectLst/>
              </a:rPr>
              <a:t>理论与实践对比图</a:t>
            </a:r>
            <a:endParaRPr lang="zh-CN" altLang="zh-CN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Sheet1!$C$47</c:f>
              <c:strCache>
                <c:ptCount val="1"/>
                <c:pt idx="0">
                  <c:v>lg实际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Sheet1!$A$48:$A$51</c:f>
              <c:strCach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strCache>
            </c:strRef>
          </c:xVal>
          <c:yVal>
            <c:numRef>
              <c:f>Sheet1!$C$48:$C$51</c:f>
              <c:numCache>
                <c:formatCode>General</c:formatCode>
                <c:ptCount val="4"/>
                <c:pt idx="0">
                  <c:v>-0.56863623584101264</c:v>
                </c:pt>
                <c:pt idx="1">
                  <c:v>0.27107452747590083</c:v>
                </c:pt>
                <c:pt idx="2">
                  <c:v>1.2776092143040911</c:v>
                </c:pt>
                <c:pt idx="3">
                  <c:v>2.4154741681092355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01-4679-B723-48ABF9402864}"/>
            </c:ext>
          </c:extLst>
        </c:ser>
        <c:ser>
          <c:idx val="1"/>
          <c:order val="1"/>
          <c:tx>
            <c:strRef>
              <c:f>Sheet1!$E$47</c:f>
              <c:strCache>
                <c:ptCount val="1"/>
                <c:pt idx="0">
                  <c:v>lg理论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Sheet1!$A$48:$A$51</c:f>
              <c:strCach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strCache>
            </c:strRef>
          </c:xVal>
          <c:yVal>
            <c:numRef>
              <c:f>Sheet1!$E$48:$E$51</c:f>
              <c:numCache>
                <c:formatCode>General</c:formatCode>
                <c:ptCount val="4"/>
                <c:pt idx="0">
                  <c:v>-0.58452583189076424</c:v>
                </c:pt>
                <c:pt idx="1">
                  <c:v>0.41547416810923576</c:v>
                </c:pt>
                <c:pt idx="2">
                  <c:v>1.4154741681092358</c:v>
                </c:pt>
                <c:pt idx="3">
                  <c:v>2.4154741681092355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01-4679-B723-48ABF9402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61376"/>
        <c:axId val="133761792"/>
      </c:scatterChart>
      <c:valAx>
        <c:axId val="13376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761792"/>
        <c:crosses val="autoZero"/>
        <c:crossBetween val="midCat"/>
      </c:valAx>
      <c:valAx>
        <c:axId val="13376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761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baseline="0">
                <a:effectLst/>
              </a:rPr>
              <a:t>并查集</a:t>
            </a:r>
            <a:r>
              <a:rPr lang="en-US" altLang="zh-CN" sz="1400" b="0" i="0" baseline="0">
                <a:effectLst/>
              </a:rPr>
              <a:t>+LCA</a:t>
            </a:r>
            <a:r>
              <a:rPr lang="zh-CN" altLang="zh-CN" sz="1400" b="0" i="0" baseline="0">
                <a:effectLst/>
              </a:rPr>
              <a:t>稠密图理论与实践对比图</a:t>
            </a:r>
            <a:endParaRPr lang="zh-CN" altLang="zh-CN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Sheet1!$C$55</c:f>
              <c:strCache>
                <c:ptCount val="1"/>
                <c:pt idx="0">
                  <c:v>lg实际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Sheet1!$A$56:$A$59</c:f>
              <c:strCache>
                <c:ptCount val="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</c:strCache>
            </c:strRef>
          </c:xVal>
          <c:yVal>
            <c:numRef>
              <c:f>Sheet1!$C$56:$C$59</c:f>
              <c:numCache>
                <c:formatCode>General</c:formatCode>
                <c:ptCount val="4"/>
                <c:pt idx="0">
                  <c:v>2.0170333392987803</c:v>
                </c:pt>
                <c:pt idx="1">
                  <c:v>2.7923916894982539</c:v>
                </c:pt>
                <c:pt idx="2">
                  <c:v>3.2415464805965484</c:v>
                </c:pt>
                <c:pt idx="3">
                  <c:v>3.5593080109070123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2C-4C15-BDB5-D1146389F12B}"/>
            </c:ext>
          </c:extLst>
        </c:ser>
        <c:ser>
          <c:idx val="1"/>
          <c:order val="1"/>
          <c:tx>
            <c:strRef>
              <c:f>Sheet1!$E$55</c:f>
              <c:strCache>
                <c:ptCount val="1"/>
                <c:pt idx="0">
                  <c:v>lg理论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Sheet1!$A$56:$A$59</c:f>
              <c:strCache>
                <c:ptCount val="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</c:strCache>
            </c:strRef>
          </c:xVal>
          <c:yVal>
            <c:numRef>
              <c:f>Sheet1!$E$56:$E$59</c:f>
              <c:numCache>
                <c:formatCode>General</c:formatCode>
                <c:ptCount val="4"/>
                <c:pt idx="0">
                  <c:v>2.3551880282510878</c:v>
                </c:pt>
                <c:pt idx="1">
                  <c:v>2.9572480195790503</c:v>
                </c:pt>
                <c:pt idx="2">
                  <c:v>3.3094305376904125</c:v>
                </c:pt>
                <c:pt idx="3">
                  <c:v>3.5593080109070123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2C-4C15-BDB5-D1146389F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83648"/>
        <c:axId val="221182816"/>
      </c:scatterChart>
      <c:valAx>
        <c:axId val="22118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1182816"/>
        <c:crosses val="autoZero"/>
        <c:crossBetween val="midCat"/>
      </c:valAx>
      <c:valAx>
        <c:axId val="22118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1183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10</xdr:row>
      <xdr:rowOff>138112</xdr:rowOff>
    </xdr:from>
    <xdr:to>
      <xdr:col>10</xdr:col>
      <xdr:colOff>295275</xdr:colOff>
      <xdr:row>25</xdr:row>
      <xdr:rowOff>166687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35E2D8F-8A22-4663-9D58-B697EE780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819150</xdr:colOff>
      <xdr:row>13</xdr:row>
      <xdr:rowOff>147637</xdr:rowOff>
    </xdr:from>
    <xdr:to>
      <xdr:col>11</xdr:col>
      <xdr:colOff>276225</xdr:colOff>
      <xdr:row>28</xdr:row>
      <xdr:rowOff>176212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6A05BF5-D95C-4024-9190-68B1F4185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400050</xdr:colOff>
      <xdr:row>22</xdr:row>
      <xdr:rowOff>23812</xdr:rowOff>
    </xdr:from>
    <xdr:to>
      <xdr:col>10</xdr:col>
      <xdr:colOff>542925</xdr:colOff>
      <xdr:row>37</xdr:row>
      <xdr:rowOff>52387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7B178062-F843-44E9-84D3-A3E6ED1CB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314325</xdr:colOff>
      <xdr:row>31</xdr:row>
      <xdr:rowOff>90487</xdr:rowOff>
    </xdr:from>
    <xdr:to>
      <xdr:col>10</xdr:col>
      <xdr:colOff>457200</xdr:colOff>
      <xdr:row>46</xdr:row>
      <xdr:rowOff>119062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E0A63525-61DA-4632-BCA0-4465D3C3F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352425</xdr:colOff>
      <xdr:row>45</xdr:row>
      <xdr:rowOff>14287</xdr:rowOff>
    </xdr:from>
    <xdr:to>
      <xdr:col>10</xdr:col>
      <xdr:colOff>409576</xdr:colOff>
      <xdr:row>60</xdr:row>
      <xdr:rowOff>152400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54695531-C766-411C-9787-6BF6BA601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638175</xdr:colOff>
      <xdr:row>62</xdr:row>
      <xdr:rowOff>128587</xdr:rowOff>
    </xdr:from>
    <xdr:to>
      <xdr:col>8</xdr:col>
      <xdr:colOff>457200</xdr:colOff>
      <xdr:row>77</xdr:row>
      <xdr:rowOff>157162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CCC0C20A-769C-42E1-8BE6-3C4972AC5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2068-485A-47FE-A20E-419FDF936AE7}">
  <dimension ref="A9:H59"/>
  <sheetViews>
    <sheetView tabSelected="1" topLeftCell="A49" workbookViewId="0">
      <selection activeCell="C64" sqref="C64"/>
    </sheetView>
  </sheetViews>
  <sheetFormatPr defaultRowHeight="14.25" x14ac:dyDescent="0.2"/>
  <cols>
    <col min="1" max="1" width="13" customWidth="1"/>
    <col min="3" max="3" width="13.5" customWidth="1"/>
    <col min="4" max="4" width="13.25" customWidth="1"/>
    <col min="6" max="6" width="11.25" customWidth="1"/>
    <col min="7" max="7" width="13.875" customWidth="1"/>
    <col min="8" max="8" width="15" customWidth="1"/>
  </cols>
  <sheetData>
    <row r="9" spans="5:8" x14ac:dyDescent="0.2">
      <c r="E9" s="2" t="s">
        <v>0</v>
      </c>
      <c r="F9" s="2"/>
      <c r="G9" s="2"/>
      <c r="H9" s="2"/>
    </row>
    <row r="10" spans="5:8" x14ac:dyDescent="0.2">
      <c r="E10" s="1"/>
      <c r="F10" s="1" t="s">
        <v>1</v>
      </c>
      <c r="G10" s="1" t="s">
        <v>2</v>
      </c>
      <c r="H10" s="1" t="s">
        <v>3</v>
      </c>
    </row>
    <row r="11" spans="5:8" x14ac:dyDescent="0.2">
      <c r="E11" s="1" t="s">
        <v>6</v>
      </c>
      <c r="F11" s="1" t="s">
        <v>12</v>
      </c>
      <c r="G11" s="1" t="s">
        <v>10</v>
      </c>
      <c r="H11" s="1" t="s">
        <v>8</v>
      </c>
    </row>
    <row r="12" spans="5:8" x14ac:dyDescent="0.2">
      <c r="E12" s="1" t="s">
        <v>4</v>
      </c>
      <c r="F12" s="1" t="s">
        <v>13</v>
      </c>
      <c r="G12" s="1" t="s">
        <v>11</v>
      </c>
      <c r="H12" s="1" t="s">
        <v>9</v>
      </c>
    </row>
    <row r="13" spans="5:8" x14ac:dyDescent="0.2">
      <c r="E13" s="1" t="s">
        <v>5</v>
      </c>
      <c r="F13" s="1" t="s">
        <v>7</v>
      </c>
      <c r="G13" s="1" t="s">
        <v>7</v>
      </c>
      <c r="H13" s="1" t="s">
        <v>14</v>
      </c>
    </row>
    <row r="17" spans="1:5" x14ac:dyDescent="0.2">
      <c r="A17" s="3" t="s">
        <v>18</v>
      </c>
      <c r="B17" s="3"/>
      <c r="C17" s="3"/>
      <c r="D17" s="3"/>
      <c r="E17" s="3"/>
    </row>
    <row r="18" spans="1:5" x14ac:dyDescent="0.2">
      <c r="A18" s="1" t="s">
        <v>20</v>
      </c>
      <c r="B18" s="1" t="s">
        <v>15</v>
      </c>
      <c r="C18" s="1" t="s">
        <v>22</v>
      </c>
      <c r="D18" s="1" t="s">
        <v>16</v>
      </c>
      <c r="E18" s="1" t="s">
        <v>21</v>
      </c>
    </row>
    <row r="19" spans="1:5" x14ac:dyDescent="0.2">
      <c r="A19" s="4" t="s">
        <v>19</v>
      </c>
      <c r="B19" s="1">
        <v>0.05</v>
      </c>
      <c r="C19" s="1">
        <f>LOG(B19)</f>
        <v>-1.3010299956639813</v>
      </c>
      <c r="D19" s="1">
        <v>2.5881999999999999E-2</v>
      </c>
      <c r="E19" s="1">
        <f>LOG(D19)</f>
        <v>-1.5870021671299459</v>
      </c>
    </row>
    <row r="20" spans="1:5" x14ac:dyDescent="0.2">
      <c r="A20" s="1">
        <v>100</v>
      </c>
      <c r="B20" s="1">
        <v>4.2</v>
      </c>
      <c r="C20" s="1">
        <f t="shared" ref="C20:C22" si="0">LOG(B20)</f>
        <v>0.62324929039790045</v>
      </c>
      <c r="D20" s="1">
        <v>2.5882000000000001</v>
      </c>
      <c r="E20" s="1">
        <f t="shared" ref="E20:E22" si="1">LOG(D20)</f>
        <v>0.41299783287005404</v>
      </c>
    </row>
    <row r="21" spans="1:5" x14ac:dyDescent="0.2">
      <c r="A21" s="1">
        <v>1000</v>
      </c>
      <c r="B21" s="1">
        <v>322</v>
      </c>
      <c r="C21" s="1">
        <f t="shared" si="0"/>
        <v>2.5078558716958308</v>
      </c>
      <c r="D21" s="1">
        <v>258.82</v>
      </c>
      <c r="E21" s="1">
        <f t="shared" si="1"/>
        <v>2.4129978328700541</v>
      </c>
    </row>
    <row r="22" spans="1:5" x14ac:dyDescent="0.2">
      <c r="A22" s="1">
        <v>10000</v>
      </c>
      <c r="B22" s="1">
        <v>25882</v>
      </c>
      <c r="C22" s="1">
        <f t="shared" si="0"/>
        <v>4.4129978328700536</v>
      </c>
      <c r="D22" s="1">
        <f>B22</f>
        <v>25882</v>
      </c>
      <c r="E22" s="1">
        <f t="shared" si="1"/>
        <v>4.4129978328700536</v>
      </c>
    </row>
    <row r="24" spans="1:5" x14ac:dyDescent="0.2">
      <c r="A24" s="3" t="s">
        <v>23</v>
      </c>
      <c r="B24" s="3"/>
      <c r="C24" s="3"/>
      <c r="D24" s="3"/>
      <c r="E24" s="3"/>
    </row>
    <row r="25" spans="1:5" x14ac:dyDescent="0.2">
      <c r="A25" s="1" t="s">
        <v>20</v>
      </c>
      <c r="B25" s="1" t="s">
        <v>15</v>
      </c>
      <c r="C25" s="1" t="s">
        <v>22</v>
      </c>
      <c r="D25" s="1" t="s">
        <v>16</v>
      </c>
      <c r="E25" s="1" t="s">
        <v>21</v>
      </c>
    </row>
    <row r="26" spans="1:5" x14ac:dyDescent="0.2">
      <c r="A26" s="4" t="s">
        <v>17</v>
      </c>
      <c r="B26" s="1">
        <v>289</v>
      </c>
      <c r="C26" s="1">
        <f>LOG(B26)</f>
        <v>2.4608978427565478</v>
      </c>
      <c r="D26" s="1">
        <f>D29/256</f>
        <v>510.0234375</v>
      </c>
      <c r="E26" s="1">
        <f>LOG(D26)</f>
        <v>2.7075901340254647</v>
      </c>
    </row>
    <row r="27" spans="1:5" x14ac:dyDescent="0.2">
      <c r="A27" s="1">
        <v>200</v>
      </c>
      <c r="B27" s="1">
        <v>5498</v>
      </c>
      <c r="C27" s="1">
        <f t="shared" ref="C27:C29" si="2">LOG(B27)</f>
        <v>3.7402047355074495</v>
      </c>
      <c r="D27" s="1">
        <f>D29/16</f>
        <v>8160.375</v>
      </c>
      <c r="E27" s="1">
        <f t="shared" ref="E27:E29" si="3">LOG(D27)</f>
        <v>3.9117101166813892</v>
      </c>
    </row>
    <row r="28" spans="1:5" x14ac:dyDescent="0.2">
      <c r="A28" s="1">
        <v>300</v>
      </c>
      <c r="B28" s="1">
        <v>34209</v>
      </c>
      <c r="C28" s="1">
        <f t="shared" si="2"/>
        <v>4.5341403790424284</v>
      </c>
      <c r="D28" s="1">
        <f>D29/(256/81)</f>
        <v>41311.8984375</v>
      </c>
      <c r="E28" s="1">
        <f t="shared" si="3"/>
        <v>4.6160751529041146</v>
      </c>
    </row>
    <row r="29" spans="1:5" x14ac:dyDescent="0.2">
      <c r="A29" s="1">
        <v>400</v>
      </c>
      <c r="B29" s="1">
        <v>130566</v>
      </c>
      <c r="C29" s="1">
        <f t="shared" si="2"/>
        <v>5.1158300993373143</v>
      </c>
      <c r="D29" s="1">
        <f>B29</f>
        <v>130566</v>
      </c>
      <c r="E29" s="1">
        <f t="shared" si="3"/>
        <v>5.1158300993373143</v>
      </c>
    </row>
    <row r="31" spans="1:5" x14ac:dyDescent="0.2">
      <c r="A31" s="3" t="s">
        <v>24</v>
      </c>
      <c r="B31" s="3"/>
      <c r="C31" s="3"/>
      <c r="D31" s="3"/>
      <c r="E31" s="3"/>
    </row>
    <row r="32" spans="1:5" x14ac:dyDescent="0.2">
      <c r="A32" s="1" t="s">
        <v>20</v>
      </c>
      <c r="B32" s="1" t="s">
        <v>15</v>
      </c>
      <c r="C32" s="1" t="s">
        <v>22</v>
      </c>
      <c r="D32" s="1" t="s">
        <v>16</v>
      </c>
      <c r="E32" s="1" t="s">
        <v>21</v>
      </c>
    </row>
    <row r="33" spans="1:5" x14ac:dyDescent="0.2">
      <c r="A33" s="4" t="s">
        <v>19</v>
      </c>
      <c r="B33" s="1">
        <v>0.08</v>
      </c>
      <c r="C33" s="1">
        <f>LOG(B33)</f>
        <v>-1.0969100130080565</v>
      </c>
      <c r="D33" s="1">
        <f>D34/100</f>
        <v>4.3789999999999996E-2</v>
      </c>
      <c r="E33" s="1">
        <f>LOG(D33)</f>
        <v>-1.3586250548078744</v>
      </c>
    </row>
    <row r="34" spans="1:5" x14ac:dyDescent="0.2">
      <c r="A34" s="1">
        <v>100</v>
      </c>
      <c r="B34" s="1">
        <v>3</v>
      </c>
      <c r="C34" s="1">
        <f t="shared" ref="C34:C36" si="4">LOG(B34)</f>
        <v>0.47712125471966244</v>
      </c>
      <c r="D34" s="1">
        <f>D35/100</f>
        <v>4.3789999999999996</v>
      </c>
      <c r="E34" s="1">
        <f t="shared" ref="E34:E36" si="5">LOG(D34)</f>
        <v>0.64137494519212546</v>
      </c>
    </row>
    <row r="35" spans="1:5" x14ac:dyDescent="0.2">
      <c r="A35" s="1">
        <v>1000</v>
      </c>
      <c r="B35" s="1">
        <v>373</v>
      </c>
      <c r="C35" s="1">
        <f t="shared" si="4"/>
        <v>2.5717088318086878</v>
      </c>
      <c r="D35" s="1">
        <f>D36/100</f>
        <v>437.9</v>
      </c>
      <c r="E35" s="1">
        <f t="shared" si="5"/>
        <v>2.6413749451921253</v>
      </c>
    </row>
    <row r="36" spans="1:5" x14ac:dyDescent="0.2">
      <c r="A36" s="1">
        <v>10000</v>
      </c>
      <c r="B36" s="1">
        <v>43790</v>
      </c>
      <c r="C36" s="1">
        <f t="shared" si="4"/>
        <v>4.6413749451921253</v>
      </c>
      <c r="D36" s="1">
        <f>B36</f>
        <v>43790</v>
      </c>
      <c r="E36" s="1">
        <f t="shared" si="5"/>
        <v>4.6413749451921253</v>
      </c>
    </row>
    <row r="38" spans="1:5" x14ac:dyDescent="0.2">
      <c r="A38" s="3" t="s">
        <v>25</v>
      </c>
      <c r="B38" s="3"/>
      <c r="C38" s="3"/>
      <c r="D38" s="3"/>
      <c r="E38" s="3"/>
    </row>
    <row r="39" spans="1:5" x14ac:dyDescent="0.2">
      <c r="A39" s="1" t="s">
        <v>20</v>
      </c>
      <c r="B39" s="1" t="s">
        <v>15</v>
      </c>
      <c r="C39" s="1" t="s">
        <v>22</v>
      </c>
      <c r="D39" s="1" t="s">
        <v>16</v>
      </c>
      <c r="E39" s="1" t="s">
        <v>21</v>
      </c>
    </row>
    <row r="40" spans="1:5" x14ac:dyDescent="0.2">
      <c r="A40" s="4" t="s">
        <v>17</v>
      </c>
      <c r="B40" s="1">
        <v>570</v>
      </c>
      <c r="C40" s="1">
        <f>LOG(B40)</f>
        <v>2.7558748556724915</v>
      </c>
      <c r="D40" s="1">
        <f>D43/256</f>
        <v>608.7265625</v>
      </c>
      <c r="E40" s="1">
        <f>LOG(D40)</f>
        <v>2.7844222531173579</v>
      </c>
    </row>
    <row r="41" spans="1:5" x14ac:dyDescent="0.2">
      <c r="A41" s="1">
        <v>200</v>
      </c>
      <c r="B41" s="1">
        <v>8140.3</v>
      </c>
      <c r="C41" s="1">
        <f t="shared" ref="C41:C43" si="6">LOG(B41)</f>
        <v>3.9106404105333952</v>
      </c>
      <c r="D41" s="1">
        <f>D43/16</f>
        <v>9739.625</v>
      </c>
      <c r="E41" s="1">
        <f t="shared" ref="E41:E43" si="7">LOG(D41)</f>
        <v>3.9885422357732829</v>
      </c>
    </row>
    <row r="42" spans="1:5" x14ac:dyDescent="0.2">
      <c r="A42" s="1">
        <v>300</v>
      </c>
      <c r="B42" s="1">
        <v>39112</v>
      </c>
      <c r="C42" s="1">
        <f t="shared" si="6"/>
        <v>4.5923100242557791</v>
      </c>
      <c r="D42" s="1">
        <f>D43/(256/81)</f>
        <v>49306.8515625</v>
      </c>
      <c r="E42" s="1">
        <f>LOG(D42)</f>
        <v>4.6929072719960079</v>
      </c>
    </row>
    <row r="43" spans="1:5" x14ac:dyDescent="0.2">
      <c r="A43" s="1">
        <v>400</v>
      </c>
      <c r="B43" s="1">
        <v>155834</v>
      </c>
      <c r="C43" s="1">
        <f t="shared" si="6"/>
        <v>5.1926622184292075</v>
      </c>
      <c r="D43" s="1">
        <f>B43</f>
        <v>155834</v>
      </c>
      <c r="E43" s="1">
        <f t="shared" si="7"/>
        <v>5.1926622184292075</v>
      </c>
    </row>
    <row r="46" spans="1:5" x14ac:dyDescent="0.2">
      <c r="A46" s="3" t="s">
        <v>26</v>
      </c>
      <c r="B46" s="3"/>
      <c r="C46" s="3"/>
      <c r="D46" s="3"/>
      <c r="E46" s="3"/>
    </row>
    <row r="47" spans="1:5" x14ac:dyDescent="0.2">
      <c r="A47" s="1" t="s">
        <v>20</v>
      </c>
      <c r="B47" s="1" t="s">
        <v>15</v>
      </c>
      <c r="C47" s="1" t="s">
        <v>22</v>
      </c>
      <c r="D47" s="1" t="s">
        <v>16</v>
      </c>
      <c r="E47" s="1" t="s">
        <v>21</v>
      </c>
    </row>
    <row r="48" spans="1:5" x14ac:dyDescent="0.2">
      <c r="A48" s="4" t="s">
        <v>19</v>
      </c>
      <c r="B48" s="1">
        <v>0.27</v>
      </c>
      <c r="C48" s="1">
        <f>LOG(B48)</f>
        <v>-0.56863623584101264</v>
      </c>
      <c r="D48" s="1">
        <f>D49/10</f>
        <v>0.26030000000000003</v>
      </c>
      <c r="E48" s="1">
        <f>LOG(D48)</f>
        <v>-0.58452583189076424</v>
      </c>
    </row>
    <row r="49" spans="1:5" x14ac:dyDescent="0.2">
      <c r="A49" s="1">
        <v>100</v>
      </c>
      <c r="B49" s="1">
        <v>1.8667</v>
      </c>
      <c r="C49" s="1">
        <f t="shared" ref="C49:C51" si="8">LOG(B49)</f>
        <v>0.27107452747590083</v>
      </c>
      <c r="D49" s="1">
        <f>D50/10</f>
        <v>2.6030000000000002</v>
      </c>
      <c r="E49" s="1">
        <f t="shared" ref="E49:E51" si="9">LOG(D49)</f>
        <v>0.41547416810923576</v>
      </c>
    </row>
    <row r="50" spans="1:5" x14ac:dyDescent="0.2">
      <c r="A50" s="1">
        <v>1000</v>
      </c>
      <c r="B50" s="1">
        <v>18.95</v>
      </c>
      <c r="C50" s="1">
        <f t="shared" si="8"/>
        <v>1.2776092143040911</v>
      </c>
      <c r="D50" s="1">
        <f>D51/10</f>
        <v>26.03</v>
      </c>
      <c r="E50" s="1">
        <f t="shared" si="9"/>
        <v>1.4154741681092358</v>
      </c>
    </row>
    <row r="51" spans="1:5" x14ac:dyDescent="0.2">
      <c r="A51" s="1">
        <v>10000</v>
      </c>
      <c r="B51" s="1">
        <v>260.3</v>
      </c>
      <c r="C51" s="1">
        <f t="shared" si="8"/>
        <v>2.4154741681092355</v>
      </c>
      <c r="D51" s="1">
        <f>B51</f>
        <v>260.3</v>
      </c>
      <c r="E51" s="1">
        <f t="shared" si="9"/>
        <v>2.4154741681092355</v>
      </c>
    </row>
    <row r="54" spans="1:5" x14ac:dyDescent="0.2">
      <c r="A54" s="5" t="s">
        <v>27</v>
      </c>
      <c r="B54" s="6"/>
      <c r="C54" s="6"/>
      <c r="D54" s="6"/>
      <c r="E54" s="7"/>
    </row>
    <row r="55" spans="1:5" x14ac:dyDescent="0.2">
      <c r="A55" s="1" t="s">
        <v>20</v>
      </c>
      <c r="B55" s="1" t="s">
        <v>15</v>
      </c>
      <c r="C55" s="1" t="s">
        <v>22</v>
      </c>
      <c r="D55" s="1" t="s">
        <v>16</v>
      </c>
      <c r="E55" s="1" t="s">
        <v>21</v>
      </c>
    </row>
    <row r="56" spans="1:5" x14ac:dyDescent="0.2">
      <c r="A56" s="4" t="s">
        <v>17</v>
      </c>
      <c r="B56" s="1">
        <v>104</v>
      </c>
      <c r="C56" s="1">
        <f>LOG(B56)</f>
        <v>2.0170333392987803</v>
      </c>
      <c r="D56" s="1">
        <f>D59/16</f>
        <v>226.5625</v>
      </c>
      <c r="E56" s="1">
        <f>LOG(D56)</f>
        <v>2.3551880282510878</v>
      </c>
    </row>
    <row r="57" spans="1:5" x14ac:dyDescent="0.2">
      <c r="A57" s="1">
        <v>200</v>
      </c>
      <c r="B57" s="1">
        <v>620</v>
      </c>
      <c r="C57" s="1">
        <f t="shared" ref="C57:C59" si="10">LOG(B57)</f>
        <v>2.7923916894982539</v>
      </c>
      <c r="D57" s="1">
        <f>D59/4</f>
        <v>906.25</v>
      </c>
      <c r="E57" s="1">
        <f t="shared" ref="E57:E59" si="11">LOG(D57)</f>
        <v>2.9572480195790503</v>
      </c>
    </row>
    <row r="58" spans="1:5" x14ac:dyDescent="0.2">
      <c r="A58" s="1">
        <v>300</v>
      </c>
      <c r="B58" s="1">
        <v>1744</v>
      </c>
      <c r="C58" s="1">
        <f t="shared" si="10"/>
        <v>3.2415464805965484</v>
      </c>
      <c r="D58" s="1">
        <f>D59/(16/9)</f>
        <v>2039.0625</v>
      </c>
      <c r="E58" s="1">
        <f t="shared" si="11"/>
        <v>3.3094305376904125</v>
      </c>
    </row>
    <row r="59" spans="1:5" x14ac:dyDescent="0.2">
      <c r="A59" s="1">
        <v>400</v>
      </c>
      <c r="B59" s="1">
        <v>3625</v>
      </c>
      <c r="C59" s="1">
        <f t="shared" si="10"/>
        <v>3.5593080109070123</v>
      </c>
      <c r="D59" s="1">
        <f>B59</f>
        <v>3625</v>
      </c>
      <c r="E59" s="1">
        <f t="shared" si="11"/>
        <v>3.5593080109070123</v>
      </c>
    </row>
  </sheetData>
  <mergeCells count="7">
    <mergeCell ref="A54:E54"/>
    <mergeCell ref="A31:E31"/>
    <mergeCell ref="A38:E38"/>
    <mergeCell ref="A46:E46"/>
    <mergeCell ref="E9:H9"/>
    <mergeCell ref="A17:E17"/>
    <mergeCell ref="A24:E2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谷雨</dc:creator>
  <cp:lastModifiedBy>谷雨</cp:lastModifiedBy>
  <dcterms:created xsi:type="dcterms:W3CDTF">2023-06-01T12:54:29Z</dcterms:created>
  <dcterms:modified xsi:type="dcterms:W3CDTF">2023-06-02T07:49:31Z</dcterms:modified>
</cp:coreProperties>
</file>