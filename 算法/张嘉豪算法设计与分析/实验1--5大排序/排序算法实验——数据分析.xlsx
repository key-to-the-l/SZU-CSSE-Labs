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8047\Desktop\"/>
    </mc:Choice>
  </mc:AlternateContent>
  <xr:revisionPtr revIDLastSave="0" documentId="13_ncr:1_{AF952DB5-31C0-4670-ADB3-67EBAA951F00}" xr6:coauthVersionLast="47" xr6:coauthVersionMax="47" xr10:uidLastSave="{00000000-0000-0000-0000-000000000000}"/>
  <bookViews>
    <workbookView xWindow="-120" yWindow="-120" windowWidth="29040" windowHeight="16440" xr2:uid="{DB9E109A-6FD7-4AB5-BEC7-C802A8F2AF7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4" i="1" l="1"/>
  <c r="T5" i="1"/>
  <c r="T6" i="1"/>
  <c r="T7" i="1"/>
  <c r="S4" i="1"/>
  <c r="S5" i="1"/>
  <c r="S6" i="1"/>
  <c r="S7" i="1"/>
  <c r="T3" i="1"/>
  <c r="S3" i="1"/>
  <c r="R4" i="1"/>
  <c r="R5" i="1"/>
  <c r="R6" i="1"/>
  <c r="R7" i="1"/>
  <c r="R3" i="1"/>
  <c r="Q4" i="1"/>
  <c r="Q5" i="1"/>
  <c r="Q6" i="1"/>
  <c r="Q7" i="1"/>
  <c r="Q3" i="1"/>
  <c r="P4" i="1"/>
  <c r="P5" i="1"/>
  <c r="P6" i="1"/>
  <c r="P7" i="1"/>
  <c r="P3" i="1"/>
  <c r="R46" i="1"/>
  <c r="S46" i="1" s="1"/>
  <c r="Q46" i="1"/>
  <c r="Q45" i="1"/>
  <c r="Q44" i="1"/>
  <c r="Q43" i="1"/>
  <c r="Q42" i="1"/>
  <c r="E47" i="1"/>
  <c r="E46" i="1" s="1"/>
  <c r="D41" i="1"/>
  <c r="D42" i="1"/>
  <c r="D43" i="1"/>
  <c r="D44" i="1"/>
  <c r="D45" i="1"/>
  <c r="D46" i="1"/>
  <c r="D47" i="1"/>
  <c r="D31" i="1"/>
  <c r="D30" i="1"/>
  <c r="D35" i="1"/>
  <c r="D36" i="1"/>
  <c r="E36" i="1"/>
  <c r="F36" i="1" s="1"/>
  <c r="D25" i="1"/>
  <c r="D34" i="1"/>
  <c r="D33" i="1"/>
  <c r="D32" i="1"/>
  <c r="E25" i="1"/>
  <c r="F25" i="1" s="1"/>
  <c r="D24" i="1"/>
  <c r="D23" i="1"/>
  <c r="D22" i="1"/>
  <c r="D21" i="1"/>
  <c r="E15" i="1"/>
  <c r="F15" i="1" s="1"/>
  <c r="E16" i="1"/>
  <c r="F16" i="1" s="1"/>
  <c r="D16" i="1"/>
  <c r="D15" i="1"/>
  <c r="D14" i="1"/>
  <c r="D13" i="1"/>
  <c r="D12" i="1"/>
  <c r="F4" i="1"/>
  <c r="F5" i="1"/>
  <c r="F6" i="1"/>
  <c r="F7" i="1"/>
  <c r="F3" i="1"/>
  <c r="D4" i="1"/>
  <c r="D5" i="1"/>
  <c r="D6" i="1"/>
  <c r="D7" i="1"/>
  <c r="D3" i="1"/>
  <c r="R45" i="1" l="1"/>
  <c r="F47" i="1"/>
  <c r="E45" i="1"/>
  <c r="F46" i="1"/>
  <c r="E35" i="1"/>
  <c r="E34" i="1" s="1"/>
  <c r="E33" i="1" s="1"/>
  <c r="E32" i="1" s="1"/>
  <c r="E31" i="1" s="1"/>
  <c r="F35" i="1"/>
  <c r="E14" i="1"/>
  <c r="E24" i="1"/>
  <c r="R44" i="1" l="1"/>
  <c r="S45" i="1"/>
  <c r="E44" i="1"/>
  <c r="F45" i="1"/>
  <c r="F31" i="1"/>
  <c r="E30" i="1"/>
  <c r="F30" i="1" s="1"/>
  <c r="F14" i="1"/>
  <c r="E13" i="1"/>
  <c r="F24" i="1"/>
  <c r="E23" i="1"/>
  <c r="R43" i="1" l="1"/>
  <c r="S44" i="1"/>
  <c r="E43" i="1"/>
  <c r="F44" i="1"/>
  <c r="F13" i="1"/>
  <c r="E12" i="1"/>
  <c r="F12" i="1" s="1"/>
  <c r="F34" i="1"/>
  <c r="E22" i="1"/>
  <c r="F23" i="1"/>
  <c r="R42" i="1" l="1"/>
  <c r="S42" i="1" s="1"/>
  <c r="S43" i="1"/>
  <c r="E42" i="1"/>
  <c r="F43" i="1"/>
  <c r="F32" i="1"/>
  <c r="F33" i="1"/>
  <c r="E21" i="1"/>
  <c r="F21" i="1" s="1"/>
  <c r="F22" i="1"/>
  <c r="E41" i="1" l="1"/>
  <c r="F41" i="1" s="1"/>
  <c r="F42" i="1"/>
</calcChain>
</file>

<file path=xl/sharedStrings.xml><?xml version="1.0" encoding="utf-8"?>
<sst xmlns="http://schemas.openxmlformats.org/spreadsheetml/2006/main" count="106" uniqueCount="51">
  <si>
    <t>规模</t>
    <phoneticPr fontId="1" type="noConversion"/>
  </si>
  <si>
    <t>规模的对数</t>
    <phoneticPr fontId="1" type="noConversion"/>
  </si>
  <si>
    <t>平均时间</t>
    <phoneticPr fontId="1" type="noConversion"/>
  </si>
  <si>
    <t>理论值</t>
    <phoneticPr fontId="1" type="noConversion"/>
  </si>
  <si>
    <t>插入排序</t>
    <phoneticPr fontId="1" type="noConversion"/>
  </si>
  <si>
    <t>选择排序</t>
    <phoneticPr fontId="1" type="noConversion"/>
  </si>
  <si>
    <t>冒泡排序</t>
    <phoneticPr fontId="1" type="noConversion"/>
  </si>
  <si>
    <t>合并排序</t>
    <phoneticPr fontId="1" type="noConversion"/>
  </si>
  <si>
    <t>快速排序</t>
    <phoneticPr fontId="1" type="noConversion"/>
  </si>
  <si>
    <t>lg实际值</t>
    <phoneticPr fontId="1" type="noConversion"/>
  </si>
  <si>
    <t>lg理论值</t>
    <phoneticPr fontId="1" type="noConversion"/>
  </si>
  <si>
    <t>未排序序列</t>
    <phoneticPr fontId="1" type="noConversion"/>
  </si>
  <si>
    <t>将最小项放到未排序序列最前端（交换）</t>
    <phoneticPr fontId="1" type="noConversion"/>
  </si>
  <si>
    <t>扫描未排序序列找到最小项（蓝色所示）</t>
    <phoneticPr fontId="1" type="noConversion"/>
  </si>
  <si>
    <t>未排序序列(前两个开始比较)</t>
    <phoneticPr fontId="1" type="noConversion"/>
  </si>
  <si>
    <t>蓝色部分依次比较</t>
    <phoneticPr fontId="1" type="noConversion"/>
  </si>
  <si>
    <t>较大数放到后面</t>
    <phoneticPr fontId="1" type="noConversion"/>
  </si>
  <si>
    <t>继续比较</t>
    <phoneticPr fontId="1" type="noConversion"/>
  </si>
  <si>
    <t>比较直到num-1-i停止</t>
    <phoneticPr fontId="1" type="noConversion"/>
  </si>
  <si>
    <t>最后的数即为最大数,即排好序</t>
    <phoneticPr fontId="1" type="noConversion"/>
  </si>
  <si>
    <t>冒泡</t>
    <phoneticPr fontId="1" type="noConversion"/>
  </si>
  <si>
    <t>合并</t>
    <phoneticPr fontId="1" type="noConversion"/>
  </si>
  <si>
    <t>i</t>
    <phoneticPr fontId="1" type="noConversion"/>
  </si>
  <si>
    <t>j</t>
    <phoneticPr fontId="1" type="noConversion"/>
  </si>
  <si>
    <t>蓝黄两个序列已排序(i,j为指针),比较两个指针的数,小的放入中间数组</t>
    <phoneticPr fontId="1" type="noConversion"/>
  </si>
  <si>
    <t>j=0</t>
    <phoneticPr fontId="1" type="noConversion"/>
  </si>
  <si>
    <t>j=1</t>
    <phoneticPr fontId="1" type="noConversion"/>
  </si>
  <si>
    <t>i=0</t>
    <phoneticPr fontId="1" type="noConversion"/>
  </si>
  <si>
    <t>j=2</t>
    <phoneticPr fontId="1" type="noConversion"/>
  </si>
  <si>
    <t>i=1</t>
    <phoneticPr fontId="1" type="noConversion"/>
  </si>
  <si>
    <t>j=3</t>
    <phoneticPr fontId="1" type="noConversion"/>
  </si>
  <si>
    <t>快排</t>
    <phoneticPr fontId="1" type="noConversion"/>
  </si>
  <si>
    <t>蓝色为基准数,未排序序列(先从右往左找,再从左往右找)</t>
    <phoneticPr fontId="1" type="noConversion"/>
  </si>
  <si>
    <t>从右往左找小于基准数的数,从左往右找大于的数,交换</t>
    <phoneticPr fontId="1" type="noConversion"/>
  </si>
  <si>
    <t>i=2</t>
    <phoneticPr fontId="1" type="noConversion"/>
  </si>
  <si>
    <t>找到后交换</t>
    <phoneticPr fontId="1" type="noConversion"/>
  </si>
  <si>
    <t>j=5</t>
    <phoneticPr fontId="1" type="noConversion"/>
  </si>
  <si>
    <t>j=4</t>
    <phoneticPr fontId="1" type="noConversion"/>
  </si>
  <si>
    <t>绿色为交换后,指针继续移动,先从右往左找</t>
    <phoneticPr fontId="1" type="noConversion"/>
  </si>
  <si>
    <t>交换后继续移动,直到i==j</t>
    <phoneticPr fontId="1" type="noConversion"/>
  </si>
  <si>
    <t>i=3, j=3</t>
    <phoneticPr fontId="1" type="noConversion"/>
  </si>
  <si>
    <t>将该数与基准数交换,继续下一次排序</t>
    <phoneticPr fontId="1" type="noConversion"/>
  </si>
  <si>
    <t>插入</t>
    <phoneticPr fontId="1" type="noConversion"/>
  </si>
  <si>
    <t>key</t>
    <phoneticPr fontId="1" type="noConversion"/>
  </si>
  <si>
    <t>结果序列最初只有一个元素</t>
    <phoneticPr fontId="1" type="noConversion"/>
  </si>
  <si>
    <t>key的值为3,大于1,插入到末尾</t>
    <phoneticPr fontId="1" type="noConversion"/>
  </si>
  <si>
    <t>key的值为4,大于3,插入到末尾</t>
    <phoneticPr fontId="1" type="noConversion"/>
  </si>
  <si>
    <t>key的值为5,大于4,插入到末尾</t>
    <phoneticPr fontId="1" type="noConversion"/>
  </si>
  <si>
    <t>key大于1,最后找到正确的位置插入</t>
    <phoneticPr fontId="1" type="noConversion"/>
  </si>
  <si>
    <t>j--</t>
    <phoneticPr fontId="1" type="noConversion"/>
  </si>
  <si>
    <t>key值小于5,5后移一位,j--使得key之后和4比较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</si>
</sst>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等线"/>
      <family val="3"/>
      <charset val="134"/>
      <scheme val="minor"/>
    </font>
    <font>
      <sz val="14"/>
      <name val="等线"/>
      <family val="3"/>
      <charset val="134"/>
      <scheme val="minor"/>
    </font>
    <font>
      <b/>
      <sz val="14"/>
      <name val="等线"/>
      <family val="3"/>
      <charset val="134"/>
      <scheme val="minor"/>
    </font>
    <font>
      <sz val="14"/>
      <color theme="1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4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插入排序</a:t>
            </a:r>
            <a:r>
              <a:rPr lang="en-US" altLang="zh-CN"/>
              <a:t>---</a:t>
            </a:r>
            <a:r>
              <a:rPr lang="zh-CN" altLang="en-US"/>
              <a:t>理论与实际对比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lg实际值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Sheet1!$B$3:$B$7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Sheet1!$D$3:$D$7</c:f>
              <c:numCache>
                <c:formatCode>General</c:formatCode>
                <c:ptCount val="5"/>
                <c:pt idx="0">
                  <c:v>-3.6108339156354674</c:v>
                </c:pt>
                <c:pt idx="1">
                  <c:v>-2.1840903491132253</c:v>
                </c:pt>
                <c:pt idx="2">
                  <c:v>-0.38663923274533279</c:v>
                </c:pt>
                <c:pt idx="3">
                  <c:v>1.5732836380728676</c:v>
                </c:pt>
                <c:pt idx="4">
                  <c:v>3.5772608040488727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60-4643-A55E-BFB972CFF7A3}"/>
            </c:ext>
          </c:extLst>
        </c:ser>
        <c:ser>
          <c:idx val="1"/>
          <c:order val="1"/>
          <c:tx>
            <c:strRef>
              <c:f>Sheet1!$F$2</c:f>
              <c:strCache>
                <c:ptCount val="1"/>
                <c:pt idx="0">
                  <c:v>lg理论值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Sheet1!$B$3:$B$7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Sheet1!$F$3:$F$7</c:f>
              <c:numCache>
                <c:formatCode>General</c:formatCode>
                <c:ptCount val="5"/>
                <c:pt idx="0">
                  <c:v>-4.4227391959511273</c:v>
                </c:pt>
                <c:pt idx="1">
                  <c:v>-2.4227391959511273</c:v>
                </c:pt>
                <c:pt idx="2">
                  <c:v>-0.42273919595112719</c:v>
                </c:pt>
                <c:pt idx="3">
                  <c:v>1.5772608040488727</c:v>
                </c:pt>
                <c:pt idx="4">
                  <c:v>3.5772608040488727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60-4643-A55E-BFB972CFF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2553056"/>
        <c:axId val="1742553888"/>
      </c:lineChart>
      <c:catAx>
        <c:axId val="174255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42553888"/>
        <c:crosses val="autoZero"/>
        <c:auto val="1"/>
        <c:lblAlgn val="ctr"/>
        <c:lblOffset val="100"/>
        <c:noMultiLvlLbl val="0"/>
      </c:catAx>
      <c:valAx>
        <c:axId val="174255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42553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9"/>
          <c:y val="0.86631889763779524"/>
          <c:w val="0.40700000000000003"/>
          <c:h val="0.105903324584426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baseline="0">
                <a:effectLst/>
              </a:rPr>
              <a:t>选择</a:t>
            </a:r>
            <a:r>
              <a:rPr lang="zh-CN" altLang="zh-CN" sz="1400" b="0" i="0" baseline="0">
                <a:effectLst/>
              </a:rPr>
              <a:t>排序</a:t>
            </a:r>
            <a:r>
              <a:rPr lang="en-US" altLang="zh-CN" sz="1400" b="0" i="0" baseline="0">
                <a:effectLst/>
              </a:rPr>
              <a:t>---</a:t>
            </a:r>
            <a:r>
              <a:rPr lang="zh-CN" altLang="zh-CN" sz="1400" b="0" i="0" baseline="0">
                <a:effectLst/>
              </a:rPr>
              <a:t>理论与实际对比</a:t>
            </a:r>
            <a:endParaRPr lang="zh-CN" altLang="zh-CN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Sheet1!$D$11</c:f>
              <c:strCache>
                <c:ptCount val="1"/>
                <c:pt idx="0">
                  <c:v>lg实际值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Sheet1!$B$12:$B$16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Sheet1!$D$12:$D$16</c:f>
              <c:numCache>
                <c:formatCode>General</c:formatCode>
                <c:ptCount val="5"/>
                <c:pt idx="0">
                  <c:v>-3.5086383061657274</c:v>
                </c:pt>
                <c:pt idx="1">
                  <c:v>-1.9804683154687446</c:v>
                </c:pt>
                <c:pt idx="2">
                  <c:v>-0.27904728329841599</c:v>
                </c:pt>
                <c:pt idx="3">
                  <c:v>1.6515784263437794</c:v>
                </c:pt>
                <c:pt idx="4">
                  <c:v>3.6486068543094676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A0-47CC-8A30-25FEF57E7F60}"/>
            </c:ext>
          </c:extLst>
        </c:ser>
        <c:ser>
          <c:idx val="1"/>
          <c:order val="1"/>
          <c:tx>
            <c:strRef>
              <c:f>Sheet1!$F$11</c:f>
              <c:strCache>
                <c:ptCount val="1"/>
                <c:pt idx="0">
                  <c:v>lg理论值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Sheet1!$B$12:$B$16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Sheet1!$F$12:$F$16</c:f>
              <c:numCache>
                <c:formatCode>General</c:formatCode>
                <c:ptCount val="5"/>
                <c:pt idx="0">
                  <c:v>-4.3513931456905324</c:v>
                </c:pt>
                <c:pt idx="1">
                  <c:v>-2.3513931456905324</c:v>
                </c:pt>
                <c:pt idx="2">
                  <c:v>-0.35139314569053259</c:v>
                </c:pt>
                <c:pt idx="3">
                  <c:v>1.6486068543094674</c:v>
                </c:pt>
                <c:pt idx="4">
                  <c:v>3.6486068543094676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A0-47CC-8A30-25FEF57E7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5114128"/>
        <c:axId val="1795120368"/>
      </c:lineChart>
      <c:catAx>
        <c:axId val="1795114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95120368"/>
        <c:crosses val="autoZero"/>
        <c:auto val="1"/>
        <c:lblAlgn val="ctr"/>
        <c:lblOffset val="100"/>
        <c:noMultiLvlLbl val="0"/>
      </c:catAx>
      <c:valAx>
        <c:axId val="179512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95114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baseline="0">
                <a:effectLst/>
              </a:rPr>
              <a:t>冒泡</a:t>
            </a:r>
            <a:r>
              <a:rPr lang="zh-CN" altLang="zh-CN" sz="1400" b="0" i="0" baseline="0">
                <a:effectLst/>
              </a:rPr>
              <a:t>排序</a:t>
            </a:r>
            <a:r>
              <a:rPr lang="en-US" altLang="zh-CN" sz="1400" b="0" i="0" baseline="0">
                <a:effectLst/>
              </a:rPr>
              <a:t>---</a:t>
            </a:r>
            <a:r>
              <a:rPr lang="zh-CN" altLang="zh-CN" sz="1400" b="0" i="0" baseline="0">
                <a:effectLst/>
              </a:rPr>
              <a:t>理论与实际对比</a:t>
            </a:r>
            <a:endParaRPr lang="zh-CN" altLang="zh-CN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Sheet1!$D$20</c:f>
              <c:strCache>
                <c:ptCount val="1"/>
                <c:pt idx="0">
                  <c:v>lg实际值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Sheet1!$B$21:$B$25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Sheet1!$D$21:$D$25</c:f>
              <c:numCache>
                <c:formatCode>General</c:formatCode>
                <c:ptCount val="5"/>
                <c:pt idx="0">
                  <c:v>-3.4881166390211256</c:v>
                </c:pt>
                <c:pt idx="1">
                  <c:v>-1.6570840829159146</c:v>
                </c:pt>
                <c:pt idx="2">
                  <c:v>0.11694628201544917</c:v>
                </c:pt>
                <c:pt idx="3">
                  <c:v>2.0815957136919034</c:v>
                </c:pt>
                <c:pt idx="4">
                  <c:v>4.3051062033737626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40-49C6-A28C-23255D0CD5B4}"/>
            </c:ext>
          </c:extLst>
        </c:ser>
        <c:ser>
          <c:idx val="1"/>
          <c:order val="1"/>
          <c:tx>
            <c:strRef>
              <c:f>Sheet1!$F$20</c:f>
              <c:strCache>
                <c:ptCount val="1"/>
                <c:pt idx="0">
                  <c:v>lg理论值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Sheet1!$B$21:$B$25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Sheet1!$F$21:$F$25</c:f>
              <c:numCache>
                <c:formatCode>General</c:formatCode>
                <c:ptCount val="5"/>
                <c:pt idx="0">
                  <c:v>-3.6948937966262374</c:v>
                </c:pt>
                <c:pt idx="1">
                  <c:v>-1.6948937966262372</c:v>
                </c:pt>
                <c:pt idx="2">
                  <c:v>0.30510620337376276</c:v>
                </c:pt>
                <c:pt idx="3">
                  <c:v>2.3051062033737626</c:v>
                </c:pt>
                <c:pt idx="4">
                  <c:v>4.3051062033737626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40-49C6-A28C-23255D0CD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9194416"/>
        <c:axId val="1799195248"/>
      </c:lineChart>
      <c:catAx>
        <c:axId val="179919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99195248"/>
        <c:crosses val="autoZero"/>
        <c:auto val="1"/>
        <c:lblAlgn val="ctr"/>
        <c:lblOffset val="100"/>
        <c:noMultiLvlLbl val="0"/>
      </c:catAx>
      <c:valAx>
        <c:axId val="179919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9919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baseline="0">
                <a:effectLst/>
              </a:rPr>
              <a:t>合并</a:t>
            </a:r>
            <a:r>
              <a:rPr lang="zh-CN" altLang="zh-CN" sz="1400" b="0" i="0" baseline="0">
                <a:effectLst/>
              </a:rPr>
              <a:t>排序</a:t>
            </a:r>
            <a:r>
              <a:rPr lang="en-US" altLang="zh-CN" sz="1400" b="0" i="0" baseline="0">
                <a:effectLst/>
              </a:rPr>
              <a:t>---</a:t>
            </a:r>
            <a:r>
              <a:rPr lang="zh-CN" altLang="zh-CN" sz="1400" b="0" i="0" baseline="0">
                <a:effectLst/>
              </a:rPr>
              <a:t>理论与实际对比</a:t>
            </a:r>
            <a:endParaRPr lang="zh-CN" altLang="zh-CN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Sheet1!$D$29</c:f>
              <c:strCache>
                <c:ptCount val="1"/>
                <c:pt idx="0">
                  <c:v>lg实际值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Sheet1!$B$30:$B$36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Sheet1!$D$30:$D$36</c:f>
              <c:numCache>
                <c:formatCode>General</c:formatCode>
                <c:ptCount val="7"/>
                <c:pt idx="0">
                  <c:v>-3.4591076839845303</c:v>
                </c:pt>
                <c:pt idx="1">
                  <c:v>-2.2008007915893275</c:v>
                </c:pt>
                <c:pt idx="2">
                  <c:v>-1.0444421245969047</c:v>
                </c:pt>
                <c:pt idx="3">
                  <c:v>6.1158325937398811E-2</c:v>
                </c:pt>
                <c:pt idx="4">
                  <c:v>1.1468006709674019</c:v>
                </c:pt>
                <c:pt idx="5">
                  <c:v>2.2040575483365772</c:v>
                </c:pt>
                <c:pt idx="6">
                  <c:v>3.2423003627520157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67-460A-8D1B-050DAC78F141}"/>
            </c:ext>
          </c:extLst>
        </c:ser>
        <c:ser>
          <c:idx val="1"/>
          <c:order val="1"/>
          <c:tx>
            <c:strRef>
              <c:f>Sheet1!$F$29</c:f>
              <c:strCache>
                <c:ptCount val="1"/>
                <c:pt idx="0">
                  <c:v>lg理论值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Sheet1!$B$30:$B$36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Sheet1!$F$30:$F$36</c:f>
              <c:numCache>
                <c:formatCode>General</c:formatCode>
                <c:ptCount val="7"/>
                <c:pt idx="0">
                  <c:v>-3.6027976772622412</c:v>
                </c:pt>
                <c:pt idx="1">
                  <c:v>-2.30176768159826</c:v>
                </c:pt>
                <c:pt idx="2">
                  <c:v>-1.1256764225425788</c:v>
                </c:pt>
                <c:pt idx="3">
                  <c:v>-7.3768593427889326E-4</c:v>
                </c:pt>
                <c:pt idx="4">
                  <c:v>1.0961723270737775</c:v>
                </c:pt>
                <c:pt idx="5">
                  <c:v>2.1753535731214022</c:v>
                </c:pt>
                <c:pt idx="6">
                  <c:v>3.2423003627520157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67-460A-8D1B-050DAC78F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6782224"/>
        <c:axId val="1826782640"/>
      </c:lineChart>
      <c:catAx>
        <c:axId val="182678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26782640"/>
        <c:crosses val="autoZero"/>
        <c:auto val="1"/>
        <c:lblAlgn val="ctr"/>
        <c:lblOffset val="100"/>
        <c:noMultiLvlLbl val="0"/>
      </c:catAx>
      <c:valAx>
        <c:axId val="182678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26782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baseline="0">
                <a:effectLst/>
              </a:rPr>
              <a:t>快速</a:t>
            </a:r>
            <a:r>
              <a:rPr lang="zh-CN" altLang="zh-CN" sz="1400" b="0" i="0" baseline="0">
                <a:effectLst/>
              </a:rPr>
              <a:t>排序</a:t>
            </a:r>
            <a:r>
              <a:rPr lang="en-US" altLang="zh-CN" sz="1400" b="0" i="0" baseline="0">
                <a:effectLst/>
              </a:rPr>
              <a:t>---</a:t>
            </a:r>
            <a:r>
              <a:rPr lang="zh-CN" altLang="zh-CN" sz="1400" b="0" i="0" baseline="0">
                <a:effectLst/>
              </a:rPr>
              <a:t>理论与实际对比</a:t>
            </a:r>
            <a:endParaRPr lang="zh-CN" altLang="zh-CN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Sheet1!$D$40</c:f>
              <c:strCache>
                <c:ptCount val="1"/>
                <c:pt idx="0">
                  <c:v>lg实际值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Sheet1!$B$41:$B$47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Sheet1!$D$41:$D$47</c:f>
              <c:numCache>
                <c:formatCode>General</c:formatCode>
                <c:ptCount val="7"/>
                <c:pt idx="0">
                  <c:v>-3.4997635251743611</c:v>
                </c:pt>
                <c:pt idx="1">
                  <c:v>-2.2942730949252459</c:v>
                </c:pt>
                <c:pt idx="2">
                  <c:v>-1.1679166488527202</c:v>
                </c:pt>
                <c:pt idx="3">
                  <c:v>-7.0359895897933553E-2</c:v>
                </c:pt>
                <c:pt idx="4">
                  <c:v>0.99451203543780131</c:v>
                </c:pt>
                <c:pt idx="5">
                  <c:v>2.0783988115777285</c:v>
                </c:pt>
                <c:pt idx="6">
                  <c:v>3.4336626467381035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E3-4CB4-8189-8D009AB9F4EA}"/>
            </c:ext>
          </c:extLst>
        </c:ser>
        <c:ser>
          <c:idx val="1"/>
          <c:order val="1"/>
          <c:tx>
            <c:strRef>
              <c:f>Sheet1!$F$40</c:f>
              <c:strCache>
                <c:ptCount val="1"/>
                <c:pt idx="0">
                  <c:v>lg理论值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Sheet1!$B$41:$B$47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Sheet1!$F$41:$F$47</c:f>
              <c:numCache>
                <c:formatCode>General</c:formatCode>
                <c:ptCount val="7"/>
                <c:pt idx="0">
                  <c:v>-3.4114353932761534</c:v>
                </c:pt>
                <c:pt idx="1">
                  <c:v>-2.1104053976121722</c:v>
                </c:pt>
                <c:pt idx="2">
                  <c:v>-0.93431413855649104</c:v>
                </c:pt>
                <c:pt idx="3">
                  <c:v>0.19062459805180898</c:v>
                </c:pt>
                <c:pt idx="4">
                  <c:v>1.2875346110598653</c:v>
                </c:pt>
                <c:pt idx="5">
                  <c:v>2.36671585710749</c:v>
                </c:pt>
                <c:pt idx="6">
                  <c:v>3.4336626467381035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E3-4CB4-8189-8D009AB9F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9491280"/>
        <c:axId val="1799495440"/>
      </c:lineChart>
      <c:catAx>
        <c:axId val="179949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99495440"/>
        <c:crosses val="autoZero"/>
        <c:auto val="1"/>
        <c:lblAlgn val="ctr"/>
        <c:lblOffset val="100"/>
        <c:noMultiLvlLbl val="0"/>
      </c:catAx>
      <c:valAx>
        <c:axId val="179949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9949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快速排序</a:t>
            </a:r>
            <a:r>
              <a:rPr lang="en-US" altLang="zh-CN"/>
              <a:t>---</a:t>
            </a:r>
            <a:r>
              <a:rPr lang="zh-CN" altLang="en-US"/>
              <a:t>理论与实际对比</a:t>
            </a:r>
            <a:r>
              <a:rPr lang="en-US" altLang="zh-CN"/>
              <a:t>(</a:t>
            </a:r>
            <a:r>
              <a:rPr lang="zh-CN" altLang="en-US"/>
              <a:t>以</a:t>
            </a:r>
            <a:r>
              <a:rPr lang="en-US" altLang="zh-CN"/>
              <a:t>100000</a:t>
            </a:r>
            <a:r>
              <a:rPr lang="zh-CN" altLang="en-US"/>
              <a:t>为参照点</a:t>
            </a:r>
            <a:r>
              <a:rPr lang="en-US" altLang="zh-CN"/>
              <a:t>)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Sheet1!$Q$41</c:f>
              <c:strCache>
                <c:ptCount val="1"/>
                <c:pt idx="0">
                  <c:v>lg实际值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Sheet1!$O$42:$O$46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Sheet1!$Q$42:$Q$46</c:f>
              <c:numCache>
                <c:formatCode>General</c:formatCode>
                <c:ptCount val="5"/>
                <c:pt idx="0">
                  <c:v>-3.4997635251743611</c:v>
                </c:pt>
                <c:pt idx="1">
                  <c:v>-2.2942730949252459</c:v>
                </c:pt>
                <c:pt idx="2">
                  <c:v>-1.1679166488527202</c:v>
                </c:pt>
                <c:pt idx="3">
                  <c:v>-7.0359895897933553E-2</c:v>
                </c:pt>
                <c:pt idx="4">
                  <c:v>0.99451203543780131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D4-4420-AB5F-16026A809737}"/>
            </c:ext>
          </c:extLst>
        </c:ser>
        <c:ser>
          <c:idx val="1"/>
          <c:order val="1"/>
          <c:tx>
            <c:strRef>
              <c:f>Sheet1!$S$41</c:f>
              <c:strCache>
                <c:ptCount val="1"/>
                <c:pt idx="0">
                  <c:v>lg理论值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Sheet1!$O$42:$O$46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Sheet1!$S$42:$S$46</c:f>
              <c:numCache>
                <c:formatCode>General</c:formatCode>
                <c:ptCount val="5"/>
                <c:pt idx="0">
                  <c:v>-3.7044579688982178</c:v>
                </c:pt>
                <c:pt idx="1">
                  <c:v>-2.4034279732342365</c:v>
                </c:pt>
                <c:pt idx="2">
                  <c:v>-1.2273367141785552</c:v>
                </c:pt>
                <c:pt idx="3">
                  <c:v>-0.10239797757025514</c:v>
                </c:pt>
                <c:pt idx="4">
                  <c:v>0.99451203543780131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D4-4420-AB5F-16026A809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1890671"/>
        <c:axId val="1690949519"/>
      </c:lineChart>
      <c:catAx>
        <c:axId val="182189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90949519"/>
        <c:crosses val="autoZero"/>
        <c:auto val="1"/>
        <c:lblAlgn val="ctr"/>
        <c:lblOffset val="100"/>
        <c:noMultiLvlLbl val="0"/>
      </c:catAx>
      <c:valAx>
        <c:axId val="169094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21890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五种排序的对比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Sheet1!$P$2</c:f>
              <c:strCache>
                <c:ptCount val="1"/>
                <c:pt idx="0">
                  <c:v>插入排序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Sheet1!$O$3:$O$7</c:f>
              <c:numCache>
                <c:formatCode>General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cat>
          <c:val>
            <c:numRef>
              <c:f>Sheet1!$P$3:$P$7</c:f>
              <c:numCache>
                <c:formatCode>General</c:formatCode>
                <c:ptCount val="5"/>
                <c:pt idx="0">
                  <c:v>-3.6108339156354674</c:v>
                </c:pt>
                <c:pt idx="1">
                  <c:v>-2.1840903491132253</c:v>
                </c:pt>
                <c:pt idx="2">
                  <c:v>-0.38663923274533279</c:v>
                </c:pt>
                <c:pt idx="3">
                  <c:v>1.5732836380728676</c:v>
                </c:pt>
                <c:pt idx="4">
                  <c:v>3.5772608040488727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BD-4F7A-8586-6AA0EBFA192D}"/>
            </c:ext>
          </c:extLst>
        </c:ser>
        <c:ser>
          <c:idx val="1"/>
          <c:order val="1"/>
          <c:tx>
            <c:strRef>
              <c:f>Sheet1!$Q$2</c:f>
              <c:strCache>
                <c:ptCount val="1"/>
                <c:pt idx="0">
                  <c:v>选择排序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Sheet1!$O$3:$O$7</c:f>
              <c:numCache>
                <c:formatCode>General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cat>
          <c:val>
            <c:numRef>
              <c:f>Sheet1!$Q$3:$Q$7</c:f>
              <c:numCache>
                <c:formatCode>General</c:formatCode>
                <c:ptCount val="5"/>
                <c:pt idx="0">
                  <c:v>-3.5086383061657274</c:v>
                </c:pt>
                <c:pt idx="1">
                  <c:v>-1.9804683154687446</c:v>
                </c:pt>
                <c:pt idx="2">
                  <c:v>-0.27904728329841599</c:v>
                </c:pt>
                <c:pt idx="3">
                  <c:v>1.6515784263437794</c:v>
                </c:pt>
                <c:pt idx="4">
                  <c:v>3.6486068543094676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BD-4F7A-8586-6AA0EBFA192D}"/>
            </c:ext>
          </c:extLst>
        </c:ser>
        <c:ser>
          <c:idx val="2"/>
          <c:order val="2"/>
          <c:tx>
            <c:strRef>
              <c:f>Sheet1!$R$2</c:f>
              <c:strCache>
                <c:ptCount val="1"/>
                <c:pt idx="0">
                  <c:v>合并排序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Sheet1!$O$3:$O$7</c:f>
              <c:numCache>
                <c:formatCode>General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cat>
          <c:val>
            <c:numRef>
              <c:f>Sheet1!$R$3:$R$7</c:f>
              <c:numCache>
                <c:formatCode>General</c:formatCode>
                <c:ptCount val="5"/>
                <c:pt idx="0">
                  <c:v>-3.4591076839845303</c:v>
                </c:pt>
                <c:pt idx="1">
                  <c:v>-2.2008007915893275</c:v>
                </c:pt>
                <c:pt idx="2">
                  <c:v>-1.0444421245969047</c:v>
                </c:pt>
                <c:pt idx="3">
                  <c:v>6.1158325937398811E-2</c:v>
                </c:pt>
                <c:pt idx="4">
                  <c:v>1.1468006709674019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BD-4F7A-8586-6AA0EBFA192D}"/>
            </c:ext>
          </c:extLst>
        </c:ser>
        <c:ser>
          <c:idx val="3"/>
          <c:order val="3"/>
          <c:tx>
            <c:strRef>
              <c:f>Sheet1!$S$2</c:f>
              <c:strCache>
                <c:ptCount val="1"/>
                <c:pt idx="0">
                  <c:v>冒泡排序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Sheet1!$O$3:$O$7</c:f>
              <c:numCache>
                <c:formatCode>General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cat>
          <c:val>
            <c:numRef>
              <c:f>Sheet1!$S$3:$S$7</c:f>
              <c:numCache>
                <c:formatCode>General</c:formatCode>
                <c:ptCount val="5"/>
                <c:pt idx="0">
                  <c:v>-3.4881166390211256</c:v>
                </c:pt>
                <c:pt idx="1">
                  <c:v>-1.6570840829159146</c:v>
                </c:pt>
                <c:pt idx="2">
                  <c:v>0.11694628201544917</c:v>
                </c:pt>
                <c:pt idx="3">
                  <c:v>2.0815957136919034</c:v>
                </c:pt>
                <c:pt idx="4">
                  <c:v>4.3051062033737626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7BD-4F7A-8586-6AA0EBFA192D}"/>
            </c:ext>
          </c:extLst>
        </c:ser>
        <c:ser>
          <c:idx val="4"/>
          <c:order val="4"/>
          <c:tx>
            <c:strRef>
              <c:f>Sheet1!$T$2</c:f>
              <c:strCache>
                <c:ptCount val="1"/>
                <c:pt idx="0">
                  <c:v>快速排序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Sheet1!$O$3:$O$7</c:f>
              <c:numCache>
                <c:formatCode>General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cat>
          <c:val>
            <c:numRef>
              <c:f>Sheet1!$T$3:$T$7</c:f>
              <c:numCache>
                <c:formatCode>General</c:formatCode>
                <c:ptCount val="5"/>
                <c:pt idx="0">
                  <c:v>-3.4997635251743611</c:v>
                </c:pt>
                <c:pt idx="1">
                  <c:v>-2.2942730949252459</c:v>
                </c:pt>
                <c:pt idx="2">
                  <c:v>-1.1679166488527202</c:v>
                </c:pt>
                <c:pt idx="3">
                  <c:v>-7.0359895897933553E-2</c:v>
                </c:pt>
                <c:pt idx="4">
                  <c:v>0.99451203543780131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7BD-4F7A-8586-6AA0EBFA1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4333855"/>
        <c:axId val="1634337183"/>
      </c:lineChart>
      <c:catAx>
        <c:axId val="1634333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34337183"/>
        <c:crosses val="autoZero"/>
        <c:auto val="1"/>
        <c:lblAlgn val="ctr"/>
        <c:lblOffset val="100"/>
        <c:noMultiLvlLbl val="0"/>
      </c:catAx>
      <c:valAx>
        <c:axId val="163433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34333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800" b="0" i="0" baseline="0">
                <a:effectLst/>
              </a:rPr>
              <a:t>冒泡排序</a:t>
            </a:r>
            <a:r>
              <a:rPr lang="en-US" altLang="zh-CN" sz="1800" b="0" i="0" baseline="0">
                <a:effectLst/>
              </a:rPr>
              <a:t>---</a:t>
            </a:r>
            <a:r>
              <a:rPr lang="zh-CN" altLang="zh-CN" sz="1800" b="0" i="0" baseline="0">
                <a:effectLst/>
              </a:rPr>
              <a:t>理论与实际对比</a:t>
            </a:r>
            <a:endParaRPr lang="zh-CN" altLang="zh-CN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Sheet1!$D$20</c:f>
              <c:strCache>
                <c:ptCount val="1"/>
                <c:pt idx="0">
                  <c:v>lg实际值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Sheet1!$A$21:$A$25</c:f>
              <c:numCache>
                <c:formatCode>General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xVal>
          <c:yVal>
            <c:numRef>
              <c:f>Sheet1!$D$21:$D$25</c:f>
              <c:numCache>
                <c:formatCode>General</c:formatCode>
                <c:ptCount val="5"/>
                <c:pt idx="0">
                  <c:v>-3.4881166390211256</c:v>
                </c:pt>
                <c:pt idx="1">
                  <c:v>-1.6570840829159146</c:v>
                </c:pt>
                <c:pt idx="2">
                  <c:v>0.11694628201544917</c:v>
                </c:pt>
                <c:pt idx="3">
                  <c:v>2.0815957136919034</c:v>
                </c:pt>
                <c:pt idx="4">
                  <c:v>4.3051062033737626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A0-40E9-B451-02FA2733C9E1}"/>
            </c:ext>
          </c:extLst>
        </c:ser>
        <c:ser>
          <c:idx val="1"/>
          <c:order val="1"/>
          <c:tx>
            <c:strRef>
              <c:f>Sheet1!$F$20</c:f>
              <c:strCache>
                <c:ptCount val="1"/>
                <c:pt idx="0">
                  <c:v>lg理论值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Sheet1!$A$21:$A$25</c:f>
              <c:numCache>
                <c:formatCode>General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xVal>
          <c:yVal>
            <c:numRef>
              <c:f>Sheet1!$F$21:$F$25</c:f>
              <c:numCache>
                <c:formatCode>General</c:formatCode>
                <c:ptCount val="5"/>
                <c:pt idx="0">
                  <c:v>-3.6948937966262374</c:v>
                </c:pt>
                <c:pt idx="1">
                  <c:v>-1.6948937966262372</c:v>
                </c:pt>
                <c:pt idx="2">
                  <c:v>0.30510620337376276</c:v>
                </c:pt>
                <c:pt idx="3">
                  <c:v>2.3051062033737626</c:v>
                </c:pt>
                <c:pt idx="4">
                  <c:v>4.3051062033737626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2A0-40E9-B451-02FA2733C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7303824"/>
        <c:axId val="1387298000"/>
      </c:scatterChart>
      <c:valAx>
        <c:axId val="1387303824"/>
        <c:scaling>
          <c:logBase val="10"/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87298000"/>
        <c:crosses val="autoZero"/>
        <c:crossBetween val="midCat"/>
      </c:valAx>
      <c:valAx>
        <c:axId val="138729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87303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800" b="0" i="0" baseline="0">
                <a:effectLst/>
              </a:rPr>
              <a:t>选择排序</a:t>
            </a:r>
            <a:r>
              <a:rPr lang="en-US" altLang="zh-CN" sz="1800" b="0" i="0" baseline="0">
                <a:effectLst/>
              </a:rPr>
              <a:t>---</a:t>
            </a:r>
            <a:r>
              <a:rPr lang="zh-CN" altLang="zh-CN" sz="1800" b="0" i="0" baseline="0">
                <a:effectLst/>
              </a:rPr>
              <a:t>理论与实际对比</a:t>
            </a:r>
            <a:endParaRPr lang="zh-CN" altLang="zh-CN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Sheet1!$D$11</c:f>
              <c:strCache>
                <c:ptCount val="1"/>
                <c:pt idx="0">
                  <c:v>lg实际值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Sheet1!$A$12:$A$16</c:f>
              <c:numCache>
                <c:formatCode>General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xVal>
          <c:yVal>
            <c:numRef>
              <c:f>Sheet1!$D$12:$D$16</c:f>
              <c:numCache>
                <c:formatCode>General</c:formatCode>
                <c:ptCount val="5"/>
                <c:pt idx="0">
                  <c:v>-3.5086383061657274</c:v>
                </c:pt>
                <c:pt idx="1">
                  <c:v>-1.9804683154687446</c:v>
                </c:pt>
                <c:pt idx="2">
                  <c:v>-0.27904728329841599</c:v>
                </c:pt>
                <c:pt idx="3">
                  <c:v>1.6515784263437794</c:v>
                </c:pt>
                <c:pt idx="4">
                  <c:v>3.6486068543094676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41-4BF5-BC95-54C245AF4108}"/>
            </c:ext>
          </c:extLst>
        </c:ser>
        <c:ser>
          <c:idx val="1"/>
          <c:order val="1"/>
          <c:tx>
            <c:strRef>
              <c:f>Sheet1!$F$11</c:f>
              <c:strCache>
                <c:ptCount val="1"/>
                <c:pt idx="0">
                  <c:v>lg理论值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Sheet1!$A$12:$A$16</c:f>
              <c:numCache>
                <c:formatCode>General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xVal>
          <c:yVal>
            <c:numRef>
              <c:f>Sheet1!$F$12:$F$16</c:f>
              <c:numCache>
                <c:formatCode>General</c:formatCode>
                <c:ptCount val="5"/>
                <c:pt idx="0">
                  <c:v>-4.3513931456905324</c:v>
                </c:pt>
                <c:pt idx="1">
                  <c:v>-2.3513931456905324</c:v>
                </c:pt>
                <c:pt idx="2">
                  <c:v>-0.35139314569053259</c:v>
                </c:pt>
                <c:pt idx="3">
                  <c:v>1.6486068543094674</c:v>
                </c:pt>
                <c:pt idx="4">
                  <c:v>3.6486068543094676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E41-4BF5-BC95-54C245AF4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7163152"/>
        <c:axId val="1487161488"/>
      </c:scatterChart>
      <c:valAx>
        <c:axId val="1487163152"/>
        <c:scaling>
          <c:logBase val="10"/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7161488"/>
        <c:crosses val="autoZero"/>
        <c:crossBetween val="midCat"/>
      </c:valAx>
      <c:valAx>
        <c:axId val="148716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7163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800" b="0" i="0" baseline="0">
                <a:effectLst/>
              </a:rPr>
              <a:t>插入排序</a:t>
            </a:r>
            <a:r>
              <a:rPr lang="en-US" altLang="zh-CN" sz="1800" b="0" i="0" baseline="0">
                <a:effectLst/>
              </a:rPr>
              <a:t>---</a:t>
            </a:r>
            <a:r>
              <a:rPr lang="zh-CN" altLang="zh-CN" sz="1800" b="0" i="0" baseline="0">
                <a:effectLst/>
              </a:rPr>
              <a:t>理论与实际对比</a:t>
            </a:r>
            <a:endParaRPr lang="zh-CN" altLang="zh-CN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lg实际值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Sheet1!$A$3:$A$7</c:f>
              <c:numCache>
                <c:formatCode>General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xVal>
          <c:yVal>
            <c:numRef>
              <c:f>Sheet1!$D$3:$D$7</c:f>
              <c:numCache>
                <c:formatCode>General</c:formatCode>
                <c:ptCount val="5"/>
                <c:pt idx="0">
                  <c:v>-3.6108339156354674</c:v>
                </c:pt>
                <c:pt idx="1">
                  <c:v>-2.1840903491132253</c:v>
                </c:pt>
                <c:pt idx="2">
                  <c:v>-0.38663923274533279</c:v>
                </c:pt>
                <c:pt idx="3">
                  <c:v>1.5732836380728676</c:v>
                </c:pt>
                <c:pt idx="4">
                  <c:v>3.5772608040488727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B1-4AF9-8F07-F77309806E5B}"/>
            </c:ext>
          </c:extLst>
        </c:ser>
        <c:ser>
          <c:idx val="1"/>
          <c:order val="1"/>
          <c:tx>
            <c:strRef>
              <c:f>Sheet1!$F$2</c:f>
              <c:strCache>
                <c:ptCount val="1"/>
                <c:pt idx="0">
                  <c:v>lg理论值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Sheet1!$A$3:$A$7</c:f>
              <c:numCache>
                <c:formatCode>General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xVal>
          <c:yVal>
            <c:numRef>
              <c:f>Sheet1!$F$3:$F$7</c:f>
              <c:numCache>
                <c:formatCode>General</c:formatCode>
                <c:ptCount val="5"/>
                <c:pt idx="0">
                  <c:v>-4.4227391959511273</c:v>
                </c:pt>
                <c:pt idx="1">
                  <c:v>-2.4227391959511273</c:v>
                </c:pt>
                <c:pt idx="2">
                  <c:v>-0.42273919595112719</c:v>
                </c:pt>
                <c:pt idx="3">
                  <c:v>1.5772608040488727</c:v>
                </c:pt>
                <c:pt idx="4">
                  <c:v>3.5772608040488727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BB1-4AF9-8F07-F77309806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7157328"/>
        <c:axId val="1487163152"/>
      </c:scatterChart>
      <c:valAx>
        <c:axId val="1487157328"/>
        <c:scaling>
          <c:logBase val="10"/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7163152"/>
        <c:crosses val="autoZero"/>
        <c:crossBetween val="midCat"/>
      </c:valAx>
      <c:valAx>
        <c:axId val="148716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71573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800" b="0" i="0" baseline="0">
                <a:effectLst/>
              </a:rPr>
              <a:t>快速排序</a:t>
            </a:r>
            <a:r>
              <a:rPr lang="en-US" altLang="zh-CN" sz="1800" b="0" i="0" baseline="0">
                <a:effectLst/>
              </a:rPr>
              <a:t>---</a:t>
            </a:r>
            <a:r>
              <a:rPr lang="zh-CN" altLang="zh-CN" sz="1800" b="0" i="0" baseline="0">
                <a:effectLst/>
              </a:rPr>
              <a:t>理论与实际对比</a:t>
            </a:r>
            <a:endParaRPr lang="zh-CN" altLang="zh-CN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Sheet1!$D$40</c:f>
              <c:strCache>
                <c:ptCount val="1"/>
                <c:pt idx="0">
                  <c:v>lg实际值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Sheet1!$A$41:$A$47</c:f>
              <c:numCache>
                <c:formatCode>General</c:formatCode>
                <c:ptCount val="7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  <c:pt idx="6">
                  <c:v>100000000</c:v>
                </c:pt>
              </c:numCache>
            </c:numRef>
          </c:xVal>
          <c:yVal>
            <c:numRef>
              <c:f>Sheet1!$D$41:$D$47</c:f>
              <c:numCache>
                <c:formatCode>General</c:formatCode>
                <c:ptCount val="7"/>
                <c:pt idx="0">
                  <c:v>-3.4997635251743611</c:v>
                </c:pt>
                <c:pt idx="1">
                  <c:v>-2.2942730949252459</c:v>
                </c:pt>
                <c:pt idx="2">
                  <c:v>-1.1679166488527202</c:v>
                </c:pt>
                <c:pt idx="3">
                  <c:v>-7.0359895897933553E-2</c:v>
                </c:pt>
                <c:pt idx="4">
                  <c:v>0.99451203543780131</c:v>
                </c:pt>
                <c:pt idx="5">
                  <c:v>2.0783988115777285</c:v>
                </c:pt>
                <c:pt idx="6">
                  <c:v>3.4336626467381035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32-471B-A604-58A388E7EE46}"/>
            </c:ext>
          </c:extLst>
        </c:ser>
        <c:ser>
          <c:idx val="1"/>
          <c:order val="1"/>
          <c:tx>
            <c:strRef>
              <c:f>Sheet1!$F$40</c:f>
              <c:strCache>
                <c:ptCount val="1"/>
                <c:pt idx="0">
                  <c:v>lg理论值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Sheet1!$A$41:$A$47</c:f>
              <c:numCache>
                <c:formatCode>General</c:formatCode>
                <c:ptCount val="7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  <c:pt idx="6">
                  <c:v>100000000</c:v>
                </c:pt>
              </c:numCache>
            </c:numRef>
          </c:xVal>
          <c:yVal>
            <c:numRef>
              <c:f>Sheet1!$F$41:$F$47</c:f>
              <c:numCache>
                <c:formatCode>General</c:formatCode>
                <c:ptCount val="7"/>
                <c:pt idx="0">
                  <c:v>-3.4114353932761534</c:v>
                </c:pt>
                <c:pt idx="1">
                  <c:v>-2.1104053976121722</c:v>
                </c:pt>
                <c:pt idx="2">
                  <c:v>-0.93431413855649104</c:v>
                </c:pt>
                <c:pt idx="3">
                  <c:v>0.19062459805180898</c:v>
                </c:pt>
                <c:pt idx="4">
                  <c:v>1.2875346110598653</c:v>
                </c:pt>
                <c:pt idx="5">
                  <c:v>2.36671585710749</c:v>
                </c:pt>
                <c:pt idx="6">
                  <c:v>3.4336626467381035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C32-471B-A604-58A388E7E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1238112"/>
        <c:axId val="1551238944"/>
      </c:scatterChart>
      <c:valAx>
        <c:axId val="1551238112"/>
        <c:scaling>
          <c:logBase val="10"/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51238944"/>
        <c:crosses val="autoZero"/>
        <c:crossBetween val="midCat"/>
      </c:valAx>
      <c:valAx>
        <c:axId val="155123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51238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400" b="0" i="0" baseline="0">
                <a:effectLst/>
              </a:rPr>
              <a:t>快速排序</a:t>
            </a:r>
            <a:r>
              <a:rPr lang="en-US" altLang="zh-CN" sz="1400" b="0" i="0" baseline="0">
                <a:effectLst/>
              </a:rPr>
              <a:t>---</a:t>
            </a:r>
            <a:r>
              <a:rPr lang="zh-CN" altLang="zh-CN" sz="1400" b="0" i="0" baseline="0">
                <a:effectLst/>
              </a:rPr>
              <a:t>理论与实际对比</a:t>
            </a:r>
            <a:r>
              <a:rPr lang="en-US" altLang="zh-CN" sz="1400" b="0" i="0" baseline="0">
                <a:effectLst/>
              </a:rPr>
              <a:t>(</a:t>
            </a:r>
            <a:r>
              <a:rPr lang="zh-CN" altLang="zh-CN" sz="1400" b="0" i="0" baseline="0">
                <a:effectLst/>
              </a:rPr>
              <a:t>以</a:t>
            </a:r>
            <a:r>
              <a:rPr lang="en-US" altLang="zh-CN" sz="1400" b="0" i="0" baseline="0">
                <a:effectLst/>
              </a:rPr>
              <a:t>100000</a:t>
            </a:r>
            <a:r>
              <a:rPr lang="zh-CN" altLang="zh-CN" sz="1400" b="0" i="0" baseline="0">
                <a:effectLst/>
              </a:rPr>
              <a:t>为参照点</a:t>
            </a:r>
            <a:r>
              <a:rPr lang="en-US" altLang="zh-CN" sz="1400" b="0" i="0" baseline="0">
                <a:effectLst/>
              </a:rPr>
              <a:t>)</a:t>
            </a:r>
            <a:endParaRPr lang="zh-CN" altLang="zh-CN" sz="1400">
              <a:effectLst/>
            </a:endParaRPr>
          </a:p>
        </c:rich>
      </c:tx>
      <c:layout>
        <c:manualLayout>
          <c:xMode val="edge"/>
          <c:yMode val="edge"/>
          <c:x val="0.1583471128608924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Sheet1!$Q$41</c:f>
              <c:strCache>
                <c:ptCount val="1"/>
                <c:pt idx="0">
                  <c:v>lg实际值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Sheet1!$N$42:$N$46</c:f>
              <c:numCache>
                <c:formatCode>General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xVal>
          <c:yVal>
            <c:numRef>
              <c:f>Sheet1!$Q$42:$Q$46</c:f>
              <c:numCache>
                <c:formatCode>General</c:formatCode>
                <c:ptCount val="5"/>
                <c:pt idx="0">
                  <c:v>-3.4997635251743611</c:v>
                </c:pt>
                <c:pt idx="1">
                  <c:v>-2.2942730949252459</c:v>
                </c:pt>
                <c:pt idx="2">
                  <c:v>-1.1679166488527202</c:v>
                </c:pt>
                <c:pt idx="3">
                  <c:v>-7.0359895897933553E-2</c:v>
                </c:pt>
                <c:pt idx="4">
                  <c:v>0.99451203543780131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60-4767-AE16-3713A07D88F2}"/>
            </c:ext>
          </c:extLst>
        </c:ser>
        <c:ser>
          <c:idx val="1"/>
          <c:order val="1"/>
          <c:tx>
            <c:strRef>
              <c:f>Sheet1!$S$41</c:f>
              <c:strCache>
                <c:ptCount val="1"/>
                <c:pt idx="0">
                  <c:v>lg理论值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Sheet1!$N$42:$N$46</c:f>
              <c:numCache>
                <c:formatCode>General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xVal>
          <c:yVal>
            <c:numRef>
              <c:f>Sheet1!$S$42:$S$46</c:f>
              <c:numCache>
                <c:formatCode>General</c:formatCode>
                <c:ptCount val="5"/>
                <c:pt idx="0">
                  <c:v>-3.7044579688982178</c:v>
                </c:pt>
                <c:pt idx="1">
                  <c:v>-2.4034279732342365</c:v>
                </c:pt>
                <c:pt idx="2">
                  <c:v>-1.2273367141785552</c:v>
                </c:pt>
                <c:pt idx="3">
                  <c:v>-0.10239797757025514</c:v>
                </c:pt>
                <c:pt idx="4">
                  <c:v>0.99451203543780131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960-4767-AE16-3713A07D8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8931968"/>
        <c:axId val="1548933632"/>
      </c:scatterChart>
      <c:valAx>
        <c:axId val="1548931968"/>
        <c:scaling>
          <c:logBase val="10"/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48933632"/>
        <c:crosses val="autoZero"/>
        <c:crossBetween val="midCat"/>
      </c:valAx>
      <c:valAx>
        <c:axId val="154893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48931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800" b="0" i="0" baseline="0">
                <a:effectLst/>
              </a:rPr>
              <a:t>合并排序</a:t>
            </a:r>
            <a:r>
              <a:rPr lang="en-US" altLang="zh-CN" sz="1800" b="0" i="0" baseline="0">
                <a:effectLst/>
              </a:rPr>
              <a:t>---</a:t>
            </a:r>
            <a:r>
              <a:rPr lang="zh-CN" altLang="zh-CN" sz="1800" b="0" i="0" baseline="0">
                <a:effectLst/>
              </a:rPr>
              <a:t>理论与实际对比</a:t>
            </a:r>
            <a:endParaRPr lang="zh-CN" altLang="zh-CN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Sheet1!$D$29</c:f>
              <c:strCache>
                <c:ptCount val="1"/>
                <c:pt idx="0">
                  <c:v>lg实际值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Sheet1!$A$30:$A$36</c:f>
              <c:numCache>
                <c:formatCode>General</c:formatCode>
                <c:ptCount val="7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  <c:pt idx="6">
                  <c:v>100000000</c:v>
                </c:pt>
              </c:numCache>
            </c:numRef>
          </c:xVal>
          <c:yVal>
            <c:numRef>
              <c:f>Sheet1!$D$30:$D$36</c:f>
              <c:numCache>
                <c:formatCode>General</c:formatCode>
                <c:ptCount val="7"/>
                <c:pt idx="0">
                  <c:v>-3.4591076839845303</c:v>
                </c:pt>
                <c:pt idx="1">
                  <c:v>-2.2008007915893275</c:v>
                </c:pt>
                <c:pt idx="2">
                  <c:v>-1.0444421245969047</c:v>
                </c:pt>
                <c:pt idx="3">
                  <c:v>6.1158325937398811E-2</c:v>
                </c:pt>
                <c:pt idx="4">
                  <c:v>1.1468006709674019</c:v>
                </c:pt>
                <c:pt idx="5">
                  <c:v>2.2040575483365772</c:v>
                </c:pt>
                <c:pt idx="6">
                  <c:v>3.2423003627520157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85-4D1B-8C1E-4DF96512BAAF}"/>
            </c:ext>
          </c:extLst>
        </c:ser>
        <c:ser>
          <c:idx val="1"/>
          <c:order val="1"/>
          <c:tx>
            <c:strRef>
              <c:f>Sheet1!$F$29</c:f>
              <c:strCache>
                <c:ptCount val="1"/>
                <c:pt idx="0">
                  <c:v>lg理论值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Sheet1!$A$30:$A$36</c:f>
              <c:numCache>
                <c:formatCode>General</c:formatCode>
                <c:ptCount val="7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  <c:pt idx="6">
                  <c:v>100000000</c:v>
                </c:pt>
              </c:numCache>
            </c:numRef>
          </c:xVal>
          <c:yVal>
            <c:numRef>
              <c:f>Sheet1!$F$30:$F$36</c:f>
              <c:numCache>
                <c:formatCode>General</c:formatCode>
                <c:ptCount val="7"/>
                <c:pt idx="0">
                  <c:v>-3.6027976772622412</c:v>
                </c:pt>
                <c:pt idx="1">
                  <c:v>-2.30176768159826</c:v>
                </c:pt>
                <c:pt idx="2">
                  <c:v>-1.1256764225425788</c:v>
                </c:pt>
                <c:pt idx="3">
                  <c:v>-7.3768593427889326E-4</c:v>
                </c:pt>
                <c:pt idx="4">
                  <c:v>1.0961723270737775</c:v>
                </c:pt>
                <c:pt idx="5">
                  <c:v>2.1753535731214022</c:v>
                </c:pt>
                <c:pt idx="6">
                  <c:v>3.2423003627520157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85-4D1B-8C1E-4DF96512B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9559216"/>
        <c:axId val="1549557552"/>
      </c:scatterChart>
      <c:valAx>
        <c:axId val="1549559216"/>
        <c:scaling>
          <c:logBase val="10"/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49557552"/>
        <c:crosses val="autoZero"/>
        <c:crossBetween val="midCat"/>
      </c:valAx>
      <c:valAx>
        <c:axId val="154955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495592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五大排序对比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Sheet1!$P$2</c:f>
              <c:strCache>
                <c:ptCount val="1"/>
                <c:pt idx="0">
                  <c:v>插入排序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Sheet1!$O$3:$O$7</c:f>
              <c:numCache>
                <c:formatCode>General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xVal>
          <c:yVal>
            <c:numRef>
              <c:f>Sheet1!$P$3:$P$7</c:f>
              <c:numCache>
                <c:formatCode>General</c:formatCode>
                <c:ptCount val="5"/>
                <c:pt idx="0">
                  <c:v>-3.6108339156354674</c:v>
                </c:pt>
                <c:pt idx="1">
                  <c:v>-2.1840903491132253</c:v>
                </c:pt>
                <c:pt idx="2">
                  <c:v>-0.38663923274533279</c:v>
                </c:pt>
                <c:pt idx="3">
                  <c:v>1.5732836380728676</c:v>
                </c:pt>
                <c:pt idx="4">
                  <c:v>3.5772608040488727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4C-4018-B64D-D2730362159C}"/>
            </c:ext>
          </c:extLst>
        </c:ser>
        <c:ser>
          <c:idx val="1"/>
          <c:order val="1"/>
          <c:tx>
            <c:strRef>
              <c:f>Sheet1!$Q$2</c:f>
              <c:strCache>
                <c:ptCount val="1"/>
                <c:pt idx="0">
                  <c:v>选择排序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Sheet1!$O$3:$O$7</c:f>
              <c:numCache>
                <c:formatCode>General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xVal>
          <c:yVal>
            <c:numRef>
              <c:f>Sheet1!$Q$3:$Q$7</c:f>
              <c:numCache>
                <c:formatCode>General</c:formatCode>
                <c:ptCount val="5"/>
                <c:pt idx="0">
                  <c:v>-3.5086383061657274</c:v>
                </c:pt>
                <c:pt idx="1">
                  <c:v>-1.9804683154687446</c:v>
                </c:pt>
                <c:pt idx="2">
                  <c:v>-0.27904728329841599</c:v>
                </c:pt>
                <c:pt idx="3">
                  <c:v>1.6515784263437794</c:v>
                </c:pt>
                <c:pt idx="4">
                  <c:v>3.6486068543094676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04C-4018-B64D-D2730362159C}"/>
            </c:ext>
          </c:extLst>
        </c:ser>
        <c:ser>
          <c:idx val="2"/>
          <c:order val="2"/>
          <c:tx>
            <c:strRef>
              <c:f>Sheet1!$R$2</c:f>
              <c:strCache>
                <c:ptCount val="1"/>
                <c:pt idx="0">
                  <c:v>合并排序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Sheet1!$O$3:$O$7</c:f>
              <c:numCache>
                <c:formatCode>General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xVal>
          <c:yVal>
            <c:numRef>
              <c:f>Sheet1!$R$3:$R$7</c:f>
              <c:numCache>
                <c:formatCode>General</c:formatCode>
                <c:ptCount val="5"/>
                <c:pt idx="0">
                  <c:v>-3.4591076839845303</c:v>
                </c:pt>
                <c:pt idx="1">
                  <c:v>-2.2008007915893275</c:v>
                </c:pt>
                <c:pt idx="2">
                  <c:v>-1.0444421245969047</c:v>
                </c:pt>
                <c:pt idx="3">
                  <c:v>6.1158325937398811E-2</c:v>
                </c:pt>
                <c:pt idx="4">
                  <c:v>1.1468006709674019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4C-4018-B64D-D2730362159C}"/>
            </c:ext>
          </c:extLst>
        </c:ser>
        <c:ser>
          <c:idx val="3"/>
          <c:order val="3"/>
          <c:tx>
            <c:strRef>
              <c:f>Sheet1!$S$2</c:f>
              <c:strCache>
                <c:ptCount val="1"/>
                <c:pt idx="0">
                  <c:v>冒泡排序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Sheet1!$O$3:$O$7</c:f>
              <c:numCache>
                <c:formatCode>General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xVal>
          <c:yVal>
            <c:numRef>
              <c:f>Sheet1!$S$3:$S$7</c:f>
              <c:numCache>
                <c:formatCode>General</c:formatCode>
                <c:ptCount val="5"/>
                <c:pt idx="0">
                  <c:v>-3.4881166390211256</c:v>
                </c:pt>
                <c:pt idx="1">
                  <c:v>-1.6570840829159146</c:v>
                </c:pt>
                <c:pt idx="2">
                  <c:v>0.11694628201544917</c:v>
                </c:pt>
                <c:pt idx="3">
                  <c:v>2.0815957136919034</c:v>
                </c:pt>
                <c:pt idx="4">
                  <c:v>4.3051062033737626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04C-4018-B64D-D2730362159C}"/>
            </c:ext>
          </c:extLst>
        </c:ser>
        <c:ser>
          <c:idx val="4"/>
          <c:order val="4"/>
          <c:tx>
            <c:strRef>
              <c:f>Sheet1!$T$2</c:f>
              <c:strCache>
                <c:ptCount val="1"/>
                <c:pt idx="0">
                  <c:v>快速排序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Sheet1!$O$3:$O$7</c:f>
              <c:numCache>
                <c:formatCode>General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xVal>
          <c:yVal>
            <c:numRef>
              <c:f>Sheet1!$T$3:$T$7</c:f>
              <c:numCache>
                <c:formatCode>General</c:formatCode>
                <c:ptCount val="5"/>
                <c:pt idx="0">
                  <c:v>-3.4997635251743611</c:v>
                </c:pt>
                <c:pt idx="1">
                  <c:v>-2.2942730949252459</c:v>
                </c:pt>
                <c:pt idx="2">
                  <c:v>-1.1679166488527202</c:v>
                </c:pt>
                <c:pt idx="3">
                  <c:v>-7.0359895897933553E-2</c:v>
                </c:pt>
                <c:pt idx="4">
                  <c:v>0.99451203543780131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04C-4018-B64D-D27303621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5254000"/>
        <c:axId val="1565257328"/>
      </c:scatterChart>
      <c:valAx>
        <c:axId val="1565254000"/>
        <c:scaling>
          <c:logBase val="10"/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65257328"/>
        <c:crosses val="autoZero"/>
        <c:crossBetween val="midCat"/>
      </c:valAx>
      <c:valAx>
        <c:axId val="156525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65254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五大排序小规模数据对比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Sheet1!$P$2</c:f>
              <c:strCache>
                <c:ptCount val="1"/>
                <c:pt idx="0">
                  <c:v>插入排序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Sheet1!$O$3:$O$4</c:f>
              <c:numCache>
                <c:formatCode>General</c:formatCode>
                <c:ptCount val="2"/>
                <c:pt idx="0">
                  <c:v>10</c:v>
                </c:pt>
                <c:pt idx="1">
                  <c:v>100</c:v>
                </c:pt>
              </c:numCache>
            </c:numRef>
          </c:xVal>
          <c:yVal>
            <c:numRef>
              <c:f>Sheet1!$P$3:$P$4</c:f>
              <c:numCache>
                <c:formatCode>General</c:formatCode>
                <c:ptCount val="2"/>
                <c:pt idx="0">
                  <c:v>-3.6108339156354674</c:v>
                </c:pt>
                <c:pt idx="1">
                  <c:v>-2.1840903491132253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4E4-46BD-B838-BC387751C37E}"/>
            </c:ext>
          </c:extLst>
        </c:ser>
        <c:ser>
          <c:idx val="1"/>
          <c:order val="1"/>
          <c:tx>
            <c:strRef>
              <c:f>Sheet1!$Q$2</c:f>
              <c:strCache>
                <c:ptCount val="1"/>
                <c:pt idx="0">
                  <c:v>选择排序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Sheet1!$O$3:$O$4</c:f>
              <c:numCache>
                <c:formatCode>General</c:formatCode>
                <c:ptCount val="2"/>
                <c:pt idx="0">
                  <c:v>10</c:v>
                </c:pt>
                <c:pt idx="1">
                  <c:v>100</c:v>
                </c:pt>
              </c:numCache>
            </c:numRef>
          </c:xVal>
          <c:yVal>
            <c:numRef>
              <c:f>Sheet1!$Q$3:$Q$4</c:f>
              <c:numCache>
                <c:formatCode>General</c:formatCode>
                <c:ptCount val="2"/>
                <c:pt idx="0">
                  <c:v>-3.5086383061657274</c:v>
                </c:pt>
                <c:pt idx="1">
                  <c:v>-1.9804683154687446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4E4-46BD-B838-BC387751C37E}"/>
            </c:ext>
          </c:extLst>
        </c:ser>
        <c:ser>
          <c:idx val="2"/>
          <c:order val="2"/>
          <c:tx>
            <c:strRef>
              <c:f>Sheet1!$R$2</c:f>
              <c:strCache>
                <c:ptCount val="1"/>
                <c:pt idx="0">
                  <c:v>合并排序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Sheet1!$O$3:$O$4</c:f>
              <c:numCache>
                <c:formatCode>General</c:formatCode>
                <c:ptCount val="2"/>
                <c:pt idx="0">
                  <c:v>10</c:v>
                </c:pt>
                <c:pt idx="1">
                  <c:v>100</c:v>
                </c:pt>
              </c:numCache>
            </c:numRef>
          </c:xVal>
          <c:yVal>
            <c:numRef>
              <c:f>Sheet1!$R$3:$R$4</c:f>
              <c:numCache>
                <c:formatCode>General</c:formatCode>
                <c:ptCount val="2"/>
                <c:pt idx="0">
                  <c:v>-3.4591076839845303</c:v>
                </c:pt>
                <c:pt idx="1">
                  <c:v>-2.2008007915893275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4E4-46BD-B838-BC387751C37E}"/>
            </c:ext>
          </c:extLst>
        </c:ser>
        <c:ser>
          <c:idx val="3"/>
          <c:order val="3"/>
          <c:tx>
            <c:strRef>
              <c:f>Sheet1!$S$2</c:f>
              <c:strCache>
                <c:ptCount val="1"/>
                <c:pt idx="0">
                  <c:v>冒泡排序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Sheet1!$O$3:$O$4</c:f>
              <c:numCache>
                <c:formatCode>General</c:formatCode>
                <c:ptCount val="2"/>
                <c:pt idx="0">
                  <c:v>10</c:v>
                </c:pt>
                <c:pt idx="1">
                  <c:v>100</c:v>
                </c:pt>
              </c:numCache>
            </c:numRef>
          </c:xVal>
          <c:yVal>
            <c:numRef>
              <c:f>Sheet1!$S$3:$S$4</c:f>
              <c:numCache>
                <c:formatCode>General</c:formatCode>
                <c:ptCount val="2"/>
                <c:pt idx="0">
                  <c:v>-3.4881166390211256</c:v>
                </c:pt>
                <c:pt idx="1">
                  <c:v>-1.6570840829159146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4E4-46BD-B838-BC387751C37E}"/>
            </c:ext>
          </c:extLst>
        </c:ser>
        <c:ser>
          <c:idx val="4"/>
          <c:order val="4"/>
          <c:tx>
            <c:strRef>
              <c:f>Sheet1!$T$2</c:f>
              <c:strCache>
                <c:ptCount val="1"/>
                <c:pt idx="0">
                  <c:v>快速排序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Sheet1!$O$3:$O$4</c:f>
              <c:numCache>
                <c:formatCode>General</c:formatCode>
                <c:ptCount val="2"/>
                <c:pt idx="0">
                  <c:v>10</c:v>
                </c:pt>
                <c:pt idx="1">
                  <c:v>100</c:v>
                </c:pt>
              </c:numCache>
            </c:numRef>
          </c:xVal>
          <c:yVal>
            <c:numRef>
              <c:f>Sheet1!$T$3:$T$4</c:f>
              <c:numCache>
                <c:formatCode>General</c:formatCode>
                <c:ptCount val="2"/>
                <c:pt idx="0">
                  <c:v>-3.4997635251743611</c:v>
                </c:pt>
                <c:pt idx="1">
                  <c:v>-2.2942730949252459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4E4-46BD-B838-BC387751C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5267312"/>
        <c:axId val="1565268560"/>
      </c:scatterChart>
      <c:valAx>
        <c:axId val="1565267312"/>
        <c:scaling>
          <c:logBase val="10"/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65268560"/>
        <c:crosses val="autoZero"/>
        <c:crossBetween val="midCat"/>
      </c:valAx>
      <c:valAx>
        <c:axId val="156526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65267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271462</xdr:colOff>
      <xdr:row>0</xdr:row>
      <xdr:rowOff>0</xdr:rowOff>
    </xdr:from>
    <xdr:to>
      <xdr:col>13</xdr:col>
      <xdr:colOff>42862</xdr:colOff>
      <xdr:row>15</xdr:row>
      <xdr:rowOff>28575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47FCA4C-8B37-408B-9A1B-F3F39ABB21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257175</xdr:colOff>
      <xdr:row>15</xdr:row>
      <xdr:rowOff>128587</xdr:rowOff>
    </xdr:from>
    <xdr:to>
      <xdr:col>13</xdr:col>
      <xdr:colOff>28575</xdr:colOff>
      <xdr:row>30</xdr:row>
      <xdr:rowOff>157162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CEC92420-AAFF-4DCB-8AF4-9597F88994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44694</xdr:colOff>
      <xdr:row>31</xdr:row>
      <xdr:rowOff>137379</xdr:rowOff>
    </xdr:from>
    <xdr:to>
      <xdr:col>12</xdr:col>
      <xdr:colOff>504825</xdr:colOff>
      <xdr:row>46</xdr:row>
      <xdr:rowOff>165954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D46356F-8554-41BB-85E4-9A32A3626A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638174</xdr:colOff>
      <xdr:row>45</xdr:row>
      <xdr:rowOff>36999</xdr:rowOff>
    </xdr:from>
    <xdr:to>
      <xdr:col>13</xdr:col>
      <xdr:colOff>406643</xdr:colOff>
      <xdr:row>60</xdr:row>
      <xdr:rowOff>65574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253C6569-7BB4-4803-BA22-C0B78C264F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95250</xdr:colOff>
      <xdr:row>47</xdr:row>
      <xdr:rowOff>119062</xdr:rowOff>
    </xdr:from>
    <xdr:to>
      <xdr:col>5</xdr:col>
      <xdr:colOff>123825</xdr:colOff>
      <xdr:row>62</xdr:row>
      <xdr:rowOff>147637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39F72BFD-FD64-4567-9D20-64D7778A59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179509</xdr:colOff>
      <xdr:row>57</xdr:row>
      <xdr:rowOff>167053</xdr:rowOff>
    </xdr:from>
    <xdr:to>
      <xdr:col>17</xdr:col>
      <xdr:colOff>688731</xdr:colOff>
      <xdr:row>72</xdr:row>
      <xdr:rowOff>162657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1980A893-14AB-49D5-AD34-ED9AEC4D7F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348028</xdr:colOff>
      <xdr:row>11</xdr:row>
      <xdr:rowOff>93785</xdr:rowOff>
    </xdr:from>
    <xdr:to>
      <xdr:col>18</xdr:col>
      <xdr:colOff>509220</xdr:colOff>
      <xdr:row>26</xdr:row>
      <xdr:rowOff>89389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965A437C-1075-42CE-B515-8A4D1A15BE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417634</xdr:colOff>
      <xdr:row>28</xdr:row>
      <xdr:rowOff>137750</xdr:rowOff>
    </xdr:from>
    <xdr:to>
      <xdr:col>16</xdr:col>
      <xdr:colOff>153865</xdr:colOff>
      <xdr:row>43</xdr:row>
      <xdr:rowOff>133353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4349267B-9EF5-4D3F-8FBC-8CD08CE5CA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227136</xdr:colOff>
      <xdr:row>13</xdr:row>
      <xdr:rowOff>27842</xdr:rowOff>
    </xdr:from>
    <xdr:to>
      <xdr:col>14</xdr:col>
      <xdr:colOff>95251</xdr:colOff>
      <xdr:row>28</xdr:row>
      <xdr:rowOff>23446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B7BFE29F-14BB-43B4-A594-5F620D7594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644769</xdr:colOff>
      <xdr:row>0</xdr:row>
      <xdr:rowOff>35168</xdr:rowOff>
    </xdr:from>
    <xdr:to>
      <xdr:col>13</xdr:col>
      <xdr:colOff>395654</xdr:colOff>
      <xdr:row>13</xdr:row>
      <xdr:rowOff>133349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3F977722-E115-40F6-9598-4F257B9966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527538</xdr:colOff>
      <xdr:row>48</xdr:row>
      <xdr:rowOff>13188</xdr:rowOff>
    </xdr:from>
    <xdr:to>
      <xdr:col>9</xdr:col>
      <xdr:colOff>109903</xdr:colOff>
      <xdr:row>63</xdr:row>
      <xdr:rowOff>8792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5B0500A9-ED18-42EB-9BE8-9343E12DDC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43962</xdr:colOff>
      <xdr:row>44</xdr:row>
      <xdr:rowOff>71803</xdr:rowOff>
    </xdr:from>
    <xdr:to>
      <xdr:col>17</xdr:col>
      <xdr:colOff>1099039</xdr:colOff>
      <xdr:row>59</xdr:row>
      <xdr:rowOff>67407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B2BAB9D3-FAE2-4A1D-9D25-D0300C26B6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747346</xdr:colOff>
      <xdr:row>26</xdr:row>
      <xdr:rowOff>123091</xdr:rowOff>
    </xdr:from>
    <xdr:to>
      <xdr:col>10</xdr:col>
      <xdr:colOff>527538</xdr:colOff>
      <xdr:row>41</xdr:row>
      <xdr:rowOff>118695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7A05EC5F-7AD1-4159-B76E-CD6A61F7EE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14</xdr:col>
      <xdr:colOff>80597</xdr:colOff>
      <xdr:row>7</xdr:row>
      <xdr:rowOff>43961</xdr:rowOff>
    </xdr:from>
    <xdr:to>
      <xdr:col>19</xdr:col>
      <xdr:colOff>249116</xdr:colOff>
      <xdr:row>27</xdr:row>
      <xdr:rowOff>131885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9EF83937-A0A2-434E-89DA-F5EA976E9D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14</xdr:col>
      <xdr:colOff>161192</xdr:colOff>
      <xdr:row>6</xdr:row>
      <xdr:rowOff>218341</xdr:rowOff>
    </xdr:from>
    <xdr:to>
      <xdr:col>19</xdr:col>
      <xdr:colOff>827689</xdr:colOff>
      <xdr:row>26</xdr:row>
      <xdr:rowOff>65689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49086E28-A90C-450F-984E-482CBCE4AF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3D34A-6BB8-474C-BC6C-26A71B8EC3F1}">
  <dimension ref="A1:T47"/>
  <sheetViews>
    <sheetView tabSelected="1" topLeftCell="L5" zoomScale="145" zoomScaleNormal="145" workbookViewId="0">
      <selection activeCell="V22" sqref="V22"/>
    </sheetView>
  </sheetViews>
  <sheetFormatPr defaultRowHeight="14.25" x14ac:dyDescent="0.2"/>
  <cols>
    <col min="1" max="1" width="10.5" bestFit="1" customWidth="1"/>
    <col min="2" max="2" width="11.625" customWidth="1"/>
    <col min="3" max="3" width="10" customWidth="1"/>
    <col min="4" max="4" width="11.625" customWidth="1"/>
    <col min="5" max="5" width="15.875" customWidth="1"/>
    <col min="6" max="6" width="10.875" customWidth="1"/>
    <col min="14" max="14" width="7.5" customWidth="1"/>
    <col min="15" max="15" width="12.5" customWidth="1"/>
    <col min="16" max="16" width="16.375" customWidth="1"/>
    <col min="17" max="17" width="12.125" customWidth="1"/>
    <col min="18" max="18" width="16.875" customWidth="1"/>
    <col min="19" max="19" width="14.875" customWidth="1"/>
    <col min="20" max="20" width="14.375" customWidth="1"/>
  </cols>
  <sheetData>
    <row r="1" spans="1:20" x14ac:dyDescent="0.2">
      <c r="A1" s="20" t="s">
        <v>4</v>
      </c>
      <c r="B1" s="20"/>
      <c r="C1" s="20"/>
      <c r="D1" s="20"/>
      <c r="E1" s="20"/>
      <c r="F1" s="20"/>
    </row>
    <row r="2" spans="1:20" ht="18" x14ac:dyDescent="0.2">
      <c r="A2" s="18" t="s">
        <v>0</v>
      </c>
      <c r="B2" s="18" t="s">
        <v>1</v>
      </c>
      <c r="C2" s="18" t="s">
        <v>2</v>
      </c>
      <c r="D2" s="18" t="s">
        <v>9</v>
      </c>
      <c r="E2" s="18" t="s">
        <v>3</v>
      </c>
      <c r="F2" s="18" t="s">
        <v>10</v>
      </c>
      <c r="O2" s="19" t="s">
        <v>0</v>
      </c>
      <c r="P2" s="19" t="s">
        <v>4</v>
      </c>
      <c r="Q2" s="19" t="s">
        <v>5</v>
      </c>
      <c r="R2" s="19" t="s">
        <v>7</v>
      </c>
      <c r="S2" s="19" t="s">
        <v>6</v>
      </c>
      <c r="T2" s="19" t="s">
        <v>8</v>
      </c>
    </row>
    <row r="3" spans="1:20" ht="18" x14ac:dyDescent="0.2">
      <c r="A3" s="18">
        <v>10</v>
      </c>
      <c r="B3" s="18">
        <v>1</v>
      </c>
      <c r="C3" s="18">
        <v>2.4499999999999999E-4</v>
      </c>
      <c r="D3" s="18">
        <f>LOG(C3)</f>
        <v>-3.6108339156354674</v>
      </c>
      <c r="E3" s="18">
        <v>3.7779900000000001E-5</v>
      </c>
      <c r="F3" s="18">
        <f>LOG(E3)</f>
        <v>-4.4227391959511273</v>
      </c>
      <c r="O3" s="19">
        <v>10</v>
      </c>
      <c r="P3" s="19">
        <f>D3</f>
        <v>-3.6108339156354674</v>
      </c>
      <c r="Q3" s="19">
        <f>D12</f>
        <v>-3.5086383061657274</v>
      </c>
      <c r="R3" s="19">
        <f>D30</f>
        <v>-3.4591076839845303</v>
      </c>
      <c r="S3" s="19">
        <f>D21</f>
        <v>-3.4881166390211256</v>
      </c>
      <c r="T3" s="19">
        <f>D41</f>
        <v>-3.4997635251743611</v>
      </c>
    </row>
    <row r="4" spans="1:20" ht="18" x14ac:dyDescent="0.2">
      <c r="A4" s="18">
        <v>100</v>
      </c>
      <c r="B4" s="18">
        <v>2</v>
      </c>
      <c r="C4" s="18">
        <v>6.5449999999999996E-3</v>
      </c>
      <c r="D4" s="18">
        <f t="shared" ref="D4:D7" si="0">LOG(C4)</f>
        <v>-2.1840903491132253</v>
      </c>
      <c r="E4" s="18">
        <v>3.7779900000000002E-3</v>
      </c>
      <c r="F4" s="18">
        <f t="shared" ref="F4:F7" si="1">LOG(E4)</f>
        <v>-2.4227391959511273</v>
      </c>
      <c r="O4" s="19">
        <v>100</v>
      </c>
      <c r="P4" s="19">
        <f t="shared" ref="P4:P7" si="2">D4</f>
        <v>-2.1840903491132253</v>
      </c>
      <c r="Q4" s="19">
        <f t="shared" ref="Q4:Q7" si="3">D13</f>
        <v>-1.9804683154687446</v>
      </c>
      <c r="R4" s="19">
        <f t="shared" ref="R4:R7" si="4">D31</f>
        <v>-2.2008007915893275</v>
      </c>
      <c r="S4" s="19">
        <f t="shared" ref="S4:S7" si="5">D22</f>
        <v>-1.6570840829159146</v>
      </c>
      <c r="T4" s="19">
        <f t="shared" ref="T4:T7" si="6">D42</f>
        <v>-2.2942730949252459</v>
      </c>
    </row>
    <row r="5" spans="1:20" ht="18" x14ac:dyDescent="0.2">
      <c r="A5" s="18">
        <v>1000</v>
      </c>
      <c r="B5" s="18">
        <v>3</v>
      </c>
      <c r="C5" s="18">
        <v>0.41054499999999999</v>
      </c>
      <c r="D5" s="18">
        <f t="shared" si="0"/>
        <v>-0.38663923274533279</v>
      </c>
      <c r="E5" s="18">
        <v>0.377799</v>
      </c>
      <c r="F5" s="18">
        <f t="shared" si="1"/>
        <v>-0.42273919595112719</v>
      </c>
      <c r="O5" s="19">
        <v>1000</v>
      </c>
      <c r="P5" s="19">
        <f t="shared" si="2"/>
        <v>-0.38663923274533279</v>
      </c>
      <c r="Q5" s="19">
        <f t="shared" si="3"/>
        <v>-0.27904728329841599</v>
      </c>
      <c r="R5" s="19">
        <f t="shared" si="4"/>
        <v>-1.0444421245969047</v>
      </c>
      <c r="S5" s="19">
        <f t="shared" si="5"/>
        <v>0.11694628201544917</v>
      </c>
      <c r="T5" s="19">
        <f t="shared" si="6"/>
        <v>-1.1679166488527202</v>
      </c>
    </row>
    <row r="6" spans="1:20" ht="18" x14ac:dyDescent="0.2">
      <c r="A6" s="18">
        <v>10000</v>
      </c>
      <c r="B6" s="18">
        <v>4</v>
      </c>
      <c r="C6" s="18">
        <v>37.435499999999998</v>
      </c>
      <c r="D6" s="18">
        <f t="shared" si="0"/>
        <v>1.5732836380728676</v>
      </c>
      <c r="E6" s="18">
        <v>37.779899999999998</v>
      </c>
      <c r="F6" s="18">
        <f t="shared" si="1"/>
        <v>1.5772608040488727</v>
      </c>
      <c r="O6" s="19">
        <v>10000</v>
      </c>
      <c r="P6" s="19">
        <f t="shared" si="2"/>
        <v>1.5732836380728676</v>
      </c>
      <c r="Q6" s="19">
        <f t="shared" si="3"/>
        <v>1.6515784263437794</v>
      </c>
      <c r="R6" s="19">
        <f t="shared" si="4"/>
        <v>6.1158325937398811E-2</v>
      </c>
      <c r="S6" s="19">
        <f t="shared" si="5"/>
        <v>2.0815957136919034</v>
      </c>
      <c r="T6" s="19">
        <f t="shared" si="6"/>
        <v>-7.0359895897933553E-2</v>
      </c>
    </row>
    <row r="7" spans="1:20" ht="18" x14ac:dyDescent="0.2">
      <c r="A7" s="18">
        <v>100000</v>
      </c>
      <c r="B7" s="18">
        <v>5</v>
      </c>
      <c r="C7" s="18">
        <v>3777.99</v>
      </c>
      <c r="D7" s="18">
        <f t="shared" si="0"/>
        <v>3.5772608040488727</v>
      </c>
      <c r="E7" s="18">
        <v>3777.99</v>
      </c>
      <c r="F7" s="18">
        <f t="shared" si="1"/>
        <v>3.5772608040488727</v>
      </c>
      <c r="O7" s="19">
        <v>100000</v>
      </c>
      <c r="P7" s="19">
        <f t="shared" si="2"/>
        <v>3.5772608040488727</v>
      </c>
      <c r="Q7" s="19">
        <f t="shared" si="3"/>
        <v>3.6486068543094676</v>
      </c>
      <c r="R7" s="19">
        <f t="shared" si="4"/>
        <v>1.1468006709674019</v>
      </c>
      <c r="S7" s="19">
        <f t="shared" si="5"/>
        <v>4.3051062033737626</v>
      </c>
      <c r="T7" s="19">
        <f t="shared" si="6"/>
        <v>0.99451203543780131</v>
      </c>
    </row>
    <row r="10" spans="1:20" x14ac:dyDescent="0.2">
      <c r="A10" s="20" t="s">
        <v>5</v>
      </c>
      <c r="B10" s="20"/>
      <c r="C10" s="20"/>
      <c r="D10" s="20"/>
      <c r="E10" s="20"/>
      <c r="F10" s="20"/>
    </row>
    <row r="11" spans="1:20" x14ac:dyDescent="0.2">
      <c r="A11" s="18" t="s">
        <v>0</v>
      </c>
      <c r="B11" s="18" t="s">
        <v>1</v>
      </c>
      <c r="C11" s="18" t="s">
        <v>2</v>
      </c>
      <c r="D11" s="18" t="s">
        <v>9</v>
      </c>
      <c r="E11" s="18" t="s">
        <v>3</v>
      </c>
      <c r="F11" s="18" t="s">
        <v>10</v>
      </c>
    </row>
    <row r="12" spans="1:20" x14ac:dyDescent="0.2">
      <c r="A12" s="18">
        <v>10</v>
      </c>
      <c r="B12" s="18">
        <v>1</v>
      </c>
      <c r="C12" s="18">
        <v>3.1E-4</v>
      </c>
      <c r="D12" s="18">
        <f>LOG(C12)</f>
        <v>-3.5086383061657274</v>
      </c>
      <c r="E12" s="18">
        <f>E13/100</f>
        <v>4.4525299999999999E-5</v>
      </c>
      <c r="F12" s="18">
        <f>LOG(E12)</f>
        <v>-4.3513931456905324</v>
      </c>
    </row>
    <row r="13" spans="1:20" x14ac:dyDescent="0.2">
      <c r="A13" s="18">
        <v>100</v>
      </c>
      <c r="B13" s="18">
        <v>2</v>
      </c>
      <c r="C13" s="18">
        <v>1.0460000000000001E-2</v>
      </c>
      <c r="D13" s="18">
        <f t="shared" ref="D13:D16" si="7">LOG(C13)</f>
        <v>-1.9804683154687446</v>
      </c>
      <c r="E13" s="18">
        <f>E14/100</f>
        <v>4.4525299999999997E-3</v>
      </c>
      <c r="F13" s="18">
        <f t="shared" ref="F13:F16" si="8">LOG(E13)</f>
        <v>-2.3513931456905324</v>
      </c>
    </row>
    <row r="14" spans="1:20" x14ac:dyDescent="0.2">
      <c r="A14" s="18">
        <v>1000</v>
      </c>
      <c r="B14" s="18">
        <v>3</v>
      </c>
      <c r="C14" s="18">
        <v>0.52595999999999998</v>
      </c>
      <c r="D14" s="18">
        <f t="shared" si="7"/>
        <v>-0.27904728329841599</v>
      </c>
      <c r="E14" s="18">
        <f>E15/100</f>
        <v>0.44525299999999995</v>
      </c>
      <c r="F14" s="18">
        <f t="shared" si="8"/>
        <v>-0.35139314569053259</v>
      </c>
    </row>
    <row r="15" spans="1:20" x14ac:dyDescent="0.2">
      <c r="A15" s="18">
        <v>10000</v>
      </c>
      <c r="B15" s="18">
        <v>4</v>
      </c>
      <c r="C15" s="18">
        <v>44.831000000000003</v>
      </c>
      <c r="D15" s="18">
        <f t="shared" si="7"/>
        <v>1.6515784263437794</v>
      </c>
      <c r="E15" s="18">
        <f>E16/100</f>
        <v>44.525299999999994</v>
      </c>
      <c r="F15" s="18">
        <f t="shared" si="8"/>
        <v>1.6486068543094674</v>
      </c>
    </row>
    <row r="16" spans="1:20" x14ac:dyDescent="0.2">
      <c r="A16" s="18">
        <v>100000</v>
      </c>
      <c r="B16" s="18">
        <v>5</v>
      </c>
      <c r="C16" s="18">
        <v>4452.53</v>
      </c>
      <c r="D16" s="18">
        <f t="shared" si="7"/>
        <v>3.6486068543094676</v>
      </c>
      <c r="E16" s="18">
        <f>C16</f>
        <v>4452.53</v>
      </c>
      <c r="F16" s="18">
        <f t="shared" si="8"/>
        <v>3.6486068543094676</v>
      </c>
    </row>
    <row r="19" spans="1:6" x14ac:dyDescent="0.2">
      <c r="A19" s="20" t="s">
        <v>6</v>
      </c>
      <c r="B19" s="20"/>
      <c r="C19" s="20"/>
      <c r="D19" s="20"/>
      <c r="E19" s="20"/>
      <c r="F19" s="20"/>
    </row>
    <row r="20" spans="1:6" x14ac:dyDescent="0.2">
      <c r="A20" s="18" t="s">
        <v>0</v>
      </c>
      <c r="B20" s="18" t="s">
        <v>1</v>
      </c>
      <c r="C20" s="18" t="s">
        <v>2</v>
      </c>
      <c r="D20" s="18" t="s">
        <v>9</v>
      </c>
      <c r="E20" s="18" t="s">
        <v>3</v>
      </c>
      <c r="F20" s="18" t="s">
        <v>10</v>
      </c>
    </row>
    <row r="21" spans="1:6" x14ac:dyDescent="0.2">
      <c r="A21" s="18">
        <v>10</v>
      </c>
      <c r="B21" s="18">
        <v>1</v>
      </c>
      <c r="C21" s="18">
        <v>3.2499999999999999E-4</v>
      </c>
      <c r="D21" s="18">
        <f>LOG(C21)</f>
        <v>-3.4881166390211256</v>
      </c>
      <c r="E21" s="18">
        <f>E22/100</f>
        <v>2.01886E-4</v>
      </c>
      <c r="F21" s="18">
        <f>LOG(E21)</f>
        <v>-3.6948937966262374</v>
      </c>
    </row>
    <row r="22" spans="1:6" x14ac:dyDescent="0.2">
      <c r="A22" s="18">
        <v>100</v>
      </c>
      <c r="B22" s="18">
        <v>2</v>
      </c>
      <c r="C22" s="18">
        <v>2.2024999999999999E-2</v>
      </c>
      <c r="D22" s="18">
        <f t="shared" ref="D22:D24" si="9">LOG(C22)</f>
        <v>-1.6570840829159146</v>
      </c>
      <c r="E22" s="18">
        <f>E23/100</f>
        <v>2.0188600000000001E-2</v>
      </c>
      <c r="F22" s="18">
        <f t="shared" ref="F22:F25" si="10">LOG(E22)</f>
        <v>-1.6948937966262372</v>
      </c>
    </row>
    <row r="23" spans="1:6" x14ac:dyDescent="0.2">
      <c r="A23" s="18">
        <v>1000</v>
      </c>
      <c r="B23" s="18">
        <v>3</v>
      </c>
      <c r="C23" s="18">
        <v>1.3090200000000001</v>
      </c>
      <c r="D23" s="18">
        <f t="shared" si="9"/>
        <v>0.11694628201544917</v>
      </c>
      <c r="E23" s="18">
        <f>E24/100</f>
        <v>2.0188600000000001</v>
      </c>
      <c r="F23" s="18">
        <f t="shared" si="10"/>
        <v>0.30510620337376276</v>
      </c>
    </row>
    <row r="24" spans="1:6" x14ac:dyDescent="0.2">
      <c r="A24" s="18">
        <v>10000</v>
      </c>
      <c r="B24" s="18">
        <v>4</v>
      </c>
      <c r="C24" s="18">
        <v>120.669</v>
      </c>
      <c r="D24" s="18">
        <f t="shared" si="9"/>
        <v>2.0815957136919034</v>
      </c>
      <c r="E24" s="18">
        <f>E25/100</f>
        <v>201.886</v>
      </c>
      <c r="F24" s="18">
        <f t="shared" si="10"/>
        <v>2.3051062033737626</v>
      </c>
    </row>
    <row r="25" spans="1:6" x14ac:dyDescent="0.2">
      <c r="A25" s="18">
        <v>100000</v>
      </c>
      <c r="B25" s="18">
        <v>5</v>
      </c>
      <c r="C25" s="18">
        <v>20188.599999999999</v>
      </c>
      <c r="D25" s="18">
        <f>LOG(C25)</f>
        <v>4.3051062033737626</v>
      </c>
      <c r="E25" s="18">
        <f>C25</f>
        <v>20188.599999999999</v>
      </c>
      <c r="F25" s="18">
        <f t="shared" si="10"/>
        <v>4.3051062033737626</v>
      </c>
    </row>
    <row r="28" spans="1:6" x14ac:dyDescent="0.2">
      <c r="A28" s="20" t="s">
        <v>7</v>
      </c>
      <c r="B28" s="20"/>
      <c r="C28" s="20"/>
      <c r="D28" s="20"/>
      <c r="E28" s="20"/>
      <c r="F28" s="20"/>
    </row>
    <row r="29" spans="1:6" x14ac:dyDescent="0.2">
      <c r="A29" s="18" t="s">
        <v>0</v>
      </c>
      <c r="B29" s="18" t="s">
        <v>1</v>
      </c>
      <c r="C29" s="18" t="s">
        <v>2</v>
      </c>
      <c r="D29" s="18" t="s">
        <v>9</v>
      </c>
      <c r="E29" s="18" t="s">
        <v>3</v>
      </c>
      <c r="F29" s="18" t="s">
        <v>10</v>
      </c>
    </row>
    <row r="30" spans="1:6" x14ac:dyDescent="0.2">
      <c r="A30" s="18">
        <v>10</v>
      </c>
      <c r="B30" s="18">
        <v>1</v>
      </c>
      <c r="C30" s="18">
        <v>3.4745000000000002E-4</v>
      </c>
      <c r="D30" s="18">
        <f>LOG(C30)</f>
        <v>-3.4591076839845303</v>
      </c>
      <c r="E30" s="18">
        <f>E31/20</f>
        <v>2.4957571428571427E-4</v>
      </c>
      <c r="F30" s="18">
        <f>LOG(E30)</f>
        <v>-3.6027976772622412</v>
      </c>
    </row>
    <row r="31" spans="1:6" x14ac:dyDescent="0.2">
      <c r="A31" s="18">
        <v>100</v>
      </c>
      <c r="B31" s="18">
        <v>2</v>
      </c>
      <c r="C31" s="18">
        <v>6.2979500000000001E-3</v>
      </c>
      <c r="D31" s="18">
        <f>LOG(C31)</f>
        <v>-2.2008007915893275</v>
      </c>
      <c r="E31" s="18">
        <f>E32/15</f>
        <v>4.9915142857142854E-3</v>
      </c>
      <c r="F31" s="18">
        <f>LOG(E31)</f>
        <v>-2.30176768159826</v>
      </c>
    </row>
    <row r="32" spans="1:6" x14ac:dyDescent="0.2">
      <c r="A32" s="18">
        <v>1000</v>
      </c>
      <c r="B32" s="18">
        <v>3</v>
      </c>
      <c r="C32" s="18">
        <v>9.0273000000000006E-2</v>
      </c>
      <c r="D32" s="18">
        <f>LOG(C32)</f>
        <v>-1.0444421245969047</v>
      </c>
      <c r="E32" s="18">
        <f>E33/40*3</f>
        <v>7.4872714285714279E-2</v>
      </c>
      <c r="F32" s="18">
        <f>LOG(E32)</f>
        <v>-1.1256764225425788</v>
      </c>
    </row>
    <row r="33" spans="1:19" x14ac:dyDescent="0.2">
      <c r="A33" s="18">
        <v>10000</v>
      </c>
      <c r="B33" s="18">
        <v>4</v>
      </c>
      <c r="C33" s="18">
        <v>1.1512199999999999</v>
      </c>
      <c r="D33" s="18">
        <f t="shared" ref="D33:D36" si="11">LOG(C33)</f>
        <v>6.1158325937398811E-2</v>
      </c>
      <c r="E33" s="18">
        <f>E34/50*4</f>
        <v>0.99830285714285705</v>
      </c>
      <c r="F33" s="18">
        <f t="shared" ref="F33:F36" si="12">LOG(E33)</f>
        <v>-7.3768593427889326E-4</v>
      </c>
    </row>
    <row r="34" spans="1:19" x14ac:dyDescent="0.2">
      <c r="A34" s="18">
        <v>100000</v>
      </c>
      <c r="B34" s="18">
        <v>5</v>
      </c>
      <c r="C34" s="18">
        <v>14.021699999999999</v>
      </c>
      <c r="D34" s="18">
        <f t="shared" si="11"/>
        <v>1.1468006709674019</v>
      </c>
      <c r="E34" s="18">
        <f>E35/12</f>
        <v>12.478785714285713</v>
      </c>
      <c r="F34" s="18">
        <f t="shared" si="12"/>
        <v>1.0961723270737775</v>
      </c>
    </row>
    <row r="35" spans="1:19" x14ac:dyDescent="0.2">
      <c r="A35" s="18">
        <v>1000000</v>
      </c>
      <c r="B35" s="18">
        <v>6</v>
      </c>
      <c r="C35" s="18">
        <v>159.977</v>
      </c>
      <c r="D35" s="18">
        <f t="shared" si="11"/>
        <v>2.2040575483365772</v>
      </c>
      <c r="E35" s="18">
        <f>E36/70*6</f>
        <v>149.74542857142856</v>
      </c>
      <c r="F35" s="18">
        <f t="shared" si="12"/>
        <v>2.1753535731214022</v>
      </c>
    </row>
    <row r="36" spans="1:19" x14ac:dyDescent="0.2">
      <c r="A36" s="18">
        <v>100000000</v>
      </c>
      <c r="B36" s="18">
        <v>7</v>
      </c>
      <c r="C36" s="18">
        <v>1747.03</v>
      </c>
      <c r="D36" s="18">
        <f t="shared" si="11"/>
        <v>3.2423003627520157</v>
      </c>
      <c r="E36" s="18">
        <f>C36</f>
        <v>1747.03</v>
      </c>
      <c r="F36" s="18">
        <f t="shared" si="12"/>
        <v>3.2423003627520157</v>
      </c>
    </row>
    <row r="39" spans="1:19" x14ac:dyDescent="0.2">
      <c r="A39" s="20" t="s">
        <v>8</v>
      </c>
      <c r="B39" s="20"/>
      <c r="C39" s="20"/>
      <c r="D39" s="20"/>
      <c r="E39" s="20"/>
      <c r="F39" s="20"/>
    </row>
    <row r="40" spans="1:19" x14ac:dyDescent="0.2">
      <c r="A40" s="18" t="s">
        <v>0</v>
      </c>
      <c r="B40" s="18" t="s">
        <v>1</v>
      </c>
      <c r="C40" s="18" t="s">
        <v>2</v>
      </c>
      <c r="D40" s="18" t="s">
        <v>9</v>
      </c>
      <c r="E40" s="18" t="s">
        <v>3</v>
      </c>
      <c r="F40" s="18" t="s">
        <v>10</v>
      </c>
      <c r="N40" s="20" t="s">
        <v>8</v>
      </c>
      <c r="O40" s="20"/>
      <c r="P40" s="20"/>
      <c r="Q40" s="20"/>
      <c r="R40" s="20"/>
      <c r="S40" s="20"/>
    </row>
    <row r="41" spans="1:19" x14ac:dyDescent="0.2">
      <c r="A41" s="18">
        <v>10</v>
      </c>
      <c r="B41" s="18">
        <v>1</v>
      </c>
      <c r="C41" s="18">
        <v>3.1639999999999999E-4</v>
      </c>
      <c r="D41" s="18">
        <f>LOG(C41)</f>
        <v>-3.4997635251743611</v>
      </c>
      <c r="E41" s="18">
        <f>E42/20</f>
        <v>3.8776142857142859E-4</v>
      </c>
      <c r="F41" s="18">
        <f>LOG(E41)</f>
        <v>-3.4114353932761534</v>
      </c>
      <c r="N41" s="18" t="s">
        <v>0</v>
      </c>
      <c r="O41" s="18" t="s">
        <v>1</v>
      </c>
      <c r="P41" s="18" t="s">
        <v>2</v>
      </c>
      <c r="Q41" s="18" t="s">
        <v>9</v>
      </c>
      <c r="R41" s="18" t="s">
        <v>3</v>
      </c>
      <c r="S41" s="18" t="s">
        <v>10</v>
      </c>
    </row>
    <row r="42" spans="1:19" x14ac:dyDescent="0.2">
      <c r="A42" s="18">
        <v>100</v>
      </c>
      <c r="B42" s="18">
        <v>2</v>
      </c>
      <c r="C42" s="18">
        <v>5.0784000000000003E-3</v>
      </c>
      <c r="D42" s="18">
        <f>LOG(C42)</f>
        <v>-2.2942730949252459</v>
      </c>
      <c r="E42" s="18">
        <f>E43/15</f>
        <v>7.7552285714285714E-3</v>
      </c>
      <c r="F42" s="18">
        <f>LOG(E42)</f>
        <v>-2.1104053976121722</v>
      </c>
      <c r="N42" s="18">
        <v>10</v>
      </c>
      <c r="O42" s="18">
        <v>1</v>
      </c>
      <c r="P42" s="18">
        <v>3.1639999999999999E-4</v>
      </c>
      <c r="Q42" s="18">
        <f>LOG(P42)</f>
        <v>-3.4997635251743611</v>
      </c>
      <c r="R42" s="18">
        <f>R43/20</f>
        <v>1.9748859999999999E-4</v>
      </c>
      <c r="S42" s="18">
        <f>LOG(R42)</f>
        <v>-3.7044579688982178</v>
      </c>
    </row>
    <row r="43" spans="1:19" x14ac:dyDescent="0.2">
      <c r="A43" s="18">
        <v>1000</v>
      </c>
      <c r="B43" s="18">
        <v>3</v>
      </c>
      <c r="C43" s="18">
        <v>6.7933400000000005E-2</v>
      </c>
      <c r="D43" s="18">
        <f>LOG(C43)</f>
        <v>-1.1679166488527202</v>
      </c>
      <c r="E43" s="18">
        <f>E44/40*3</f>
        <v>0.11632842857142857</v>
      </c>
      <c r="F43" s="18">
        <f>LOG(E43)</f>
        <v>-0.93431413855649104</v>
      </c>
      <c r="N43" s="18">
        <v>100</v>
      </c>
      <c r="O43" s="18">
        <v>2</v>
      </c>
      <c r="P43" s="18">
        <v>5.0784000000000003E-3</v>
      </c>
      <c r="Q43" s="18">
        <f>LOG(P43)</f>
        <v>-2.2942730949252459</v>
      </c>
      <c r="R43" s="18">
        <f>R44/15</f>
        <v>3.9497719999999998E-3</v>
      </c>
      <c r="S43" s="18">
        <f>LOG(R43)</f>
        <v>-2.4034279732342365</v>
      </c>
    </row>
    <row r="44" spans="1:19" x14ac:dyDescent="0.2">
      <c r="A44" s="18">
        <v>10000</v>
      </c>
      <c r="B44" s="18">
        <v>4</v>
      </c>
      <c r="C44" s="18">
        <v>0.85043299999999999</v>
      </c>
      <c r="D44" s="18">
        <f t="shared" ref="D44:D47" si="13">LOG(C44)</f>
        <v>-7.0359895897933553E-2</v>
      </c>
      <c r="E44" s="18">
        <f>E45/50*4</f>
        <v>1.5510457142857144</v>
      </c>
      <c r="F44" s="18">
        <f t="shared" ref="F44:F47" si="14">LOG(E44)</f>
        <v>0.19062459805180898</v>
      </c>
      <c r="N44" s="18">
        <v>1000</v>
      </c>
      <c r="O44" s="18">
        <v>3</v>
      </c>
      <c r="P44" s="18">
        <v>6.7933400000000005E-2</v>
      </c>
      <c r="Q44" s="18">
        <f>LOG(P44)</f>
        <v>-1.1679166488527202</v>
      </c>
      <c r="R44" s="18">
        <f>R45/40*3</f>
        <v>5.924658E-2</v>
      </c>
      <c r="S44" s="18">
        <f>LOG(R44)</f>
        <v>-1.2273367141785552</v>
      </c>
    </row>
    <row r="45" spans="1:19" x14ac:dyDescent="0.2">
      <c r="A45" s="18">
        <v>100000</v>
      </c>
      <c r="B45" s="18">
        <v>5</v>
      </c>
      <c r="C45" s="18">
        <v>9.8744300000000003</v>
      </c>
      <c r="D45" s="18">
        <f t="shared" si="13"/>
        <v>0.99451203543780131</v>
      </c>
      <c r="E45" s="18">
        <f>E46/12</f>
        <v>19.388071428571429</v>
      </c>
      <c r="F45" s="18">
        <f t="shared" si="14"/>
        <v>1.2875346110598653</v>
      </c>
      <c r="N45" s="18">
        <v>10000</v>
      </c>
      <c r="O45" s="18">
        <v>4</v>
      </c>
      <c r="P45" s="18">
        <v>0.85043299999999999</v>
      </c>
      <c r="Q45" s="18">
        <f t="shared" ref="Q45:Q46" si="15">LOG(P45)</f>
        <v>-7.0359895897933553E-2</v>
      </c>
      <c r="R45" s="18">
        <f>R46/50*4</f>
        <v>0.78995440000000006</v>
      </c>
      <c r="S45" s="18">
        <f t="shared" ref="S45:S46" si="16">LOG(R45)</f>
        <v>-0.10239797757025514</v>
      </c>
    </row>
    <row r="46" spans="1:19" x14ac:dyDescent="0.2">
      <c r="A46" s="18">
        <v>1000000</v>
      </c>
      <c r="B46" s="18">
        <v>6</v>
      </c>
      <c r="C46" s="18">
        <v>119.78400000000001</v>
      </c>
      <c r="D46" s="18">
        <f t="shared" si="13"/>
        <v>2.0783988115777285</v>
      </c>
      <c r="E46" s="18">
        <f>E47/70*6</f>
        <v>232.65685714285715</v>
      </c>
      <c r="F46" s="18">
        <f t="shared" si="14"/>
        <v>2.36671585710749</v>
      </c>
      <c r="N46" s="18">
        <v>100000</v>
      </c>
      <c r="O46" s="18">
        <v>5</v>
      </c>
      <c r="P46" s="18">
        <v>9.8744300000000003</v>
      </c>
      <c r="Q46" s="18">
        <f t="shared" si="15"/>
        <v>0.99451203543780131</v>
      </c>
      <c r="R46" s="18">
        <f>P46</f>
        <v>9.8744300000000003</v>
      </c>
      <c r="S46" s="18">
        <f t="shared" si="16"/>
        <v>0.99451203543780131</v>
      </c>
    </row>
    <row r="47" spans="1:19" x14ac:dyDescent="0.2">
      <c r="A47" s="18">
        <v>100000000</v>
      </c>
      <c r="B47" s="18">
        <v>7</v>
      </c>
      <c r="C47" s="18">
        <v>2714.33</v>
      </c>
      <c r="D47" s="18">
        <f t="shared" si="13"/>
        <v>3.4336626467381035</v>
      </c>
      <c r="E47" s="18">
        <f>C47</f>
        <v>2714.33</v>
      </c>
      <c r="F47" s="18">
        <f t="shared" si="14"/>
        <v>3.4336626467381035</v>
      </c>
    </row>
  </sheetData>
  <mergeCells count="6">
    <mergeCell ref="N40:S40"/>
    <mergeCell ref="A1:F1"/>
    <mergeCell ref="A10:F10"/>
    <mergeCell ref="A19:F19"/>
    <mergeCell ref="A28:F28"/>
    <mergeCell ref="A39:F39"/>
  </mergeCells>
  <phoneticPr fontId="1" type="noConversion"/>
  <pageMargins left="0.7" right="0.7" top="0.75" bottom="0.75" header="0.3" footer="0.3"/>
  <pageSetup paperSize="9" orientation="portrait" r:id="rId1"/>
  <ignoredErrors>
    <ignoredError sqref="E12:E16 E21:E25 E30:E36 E41:E47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1EDBA-7C3A-4B99-9848-8699AD37D306}">
  <dimension ref="A1:AA48"/>
  <sheetViews>
    <sheetView topLeftCell="A7" workbookViewId="0">
      <selection activeCell="G23" sqref="G23:I23"/>
    </sheetView>
  </sheetViews>
  <sheetFormatPr defaultRowHeight="14.25" x14ac:dyDescent="0.2"/>
  <cols>
    <col min="7" max="7" width="34.375" customWidth="1"/>
    <col min="9" max="9" width="21" customWidth="1"/>
    <col min="18" max="19" width="8.875" customWidth="1"/>
    <col min="20" max="20" width="22.625" customWidth="1"/>
    <col min="22" max="22" width="8.875" customWidth="1"/>
  </cols>
  <sheetData>
    <row r="1" spans="1:27" ht="18" x14ac:dyDescent="0.2">
      <c r="A1" s="1">
        <v>8</v>
      </c>
      <c r="B1" s="1">
        <v>10</v>
      </c>
      <c r="C1" s="1">
        <v>9</v>
      </c>
      <c r="D1" s="2">
        <v>4</v>
      </c>
      <c r="E1" s="1">
        <v>6</v>
      </c>
      <c r="F1" s="1">
        <v>7</v>
      </c>
      <c r="G1" s="21" t="s">
        <v>11</v>
      </c>
      <c r="H1" s="21"/>
      <c r="I1" s="21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7" ht="18" x14ac:dyDescent="0.2">
      <c r="A2" s="3"/>
      <c r="B2" s="3"/>
      <c r="C2" s="3"/>
      <c r="D2" s="3"/>
      <c r="E2" s="3"/>
      <c r="F2" s="3"/>
      <c r="G2" s="3"/>
      <c r="S2" s="22"/>
      <c r="T2" s="21"/>
      <c r="U2" s="21"/>
      <c r="V2" s="21"/>
      <c r="W2" s="21"/>
      <c r="X2" s="21"/>
      <c r="Y2" s="5"/>
    </row>
    <row r="3" spans="1:27" ht="18" x14ac:dyDescent="0.2">
      <c r="A3" s="3"/>
      <c r="B3" s="3"/>
      <c r="C3" s="3"/>
      <c r="D3" s="3"/>
      <c r="E3" s="3"/>
      <c r="F3" s="3"/>
      <c r="G3" s="3"/>
      <c r="S3" s="21"/>
      <c r="T3" s="21"/>
      <c r="U3" s="21"/>
      <c r="V3" s="21"/>
      <c r="W3" s="21"/>
      <c r="X3" s="21"/>
      <c r="Y3" s="5"/>
    </row>
    <row r="4" spans="1:27" ht="18" x14ac:dyDescent="0.2">
      <c r="A4" s="1">
        <v>8</v>
      </c>
      <c r="B4" s="1">
        <v>10</v>
      </c>
      <c r="C4" s="1">
        <v>9</v>
      </c>
      <c r="D4" s="4">
        <v>4</v>
      </c>
      <c r="E4" s="1">
        <v>6</v>
      </c>
      <c r="F4" s="1">
        <v>7</v>
      </c>
      <c r="G4" s="21" t="s">
        <v>13</v>
      </c>
      <c r="H4" s="21"/>
      <c r="I4" s="21"/>
      <c r="K4" s="5" t="s">
        <v>21</v>
      </c>
      <c r="M4" s="23" t="s">
        <v>24</v>
      </c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5"/>
    </row>
    <row r="5" spans="1:27" ht="18" x14ac:dyDescent="0.2">
      <c r="A5" s="3"/>
      <c r="B5" s="3"/>
      <c r="C5" s="3"/>
      <c r="D5" s="3"/>
      <c r="E5" s="3"/>
      <c r="F5" s="3"/>
      <c r="G5" s="3"/>
      <c r="K5" s="9">
        <v>5</v>
      </c>
      <c r="L5" s="9">
        <v>6</v>
      </c>
      <c r="M5" s="9">
        <v>8</v>
      </c>
      <c r="N5" s="10">
        <v>9</v>
      </c>
      <c r="O5" s="11">
        <v>1</v>
      </c>
      <c r="P5" s="11">
        <v>2</v>
      </c>
      <c r="Q5" s="11">
        <v>3</v>
      </c>
      <c r="R5" s="11">
        <v>7</v>
      </c>
      <c r="S5" s="5"/>
      <c r="T5" s="12">
        <v>1</v>
      </c>
      <c r="U5" s="12"/>
      <c r="V5" s="12"/>
      <c r="W5" s="12"/>
      <c r="X5" s="12"/>
      <c r="Y5" s="12"/>
      <c r="Z5" s="13"/>
      <c r="AA5" s="13"/>
    </row>
    <row r="6" spans="1:27" ht="18" x14ac:dyDescent="0.2">
      <c r="A6" s="3"/>
      <c r="B6" s="3"/>
      <c r="C6" s="3"/>
      <c r="D6" s="3"/>
      <c r="E6" s="3"/>
      <c r="F6" s="3"/>
      <c r="G6" s="3"/>
      <c r="K6" s="5" t="s">
        <v>22</v>
      </c>
      <c r="L6" s="5"/>
      <c r="M6" s="5"/>
      <c r="N6" s="5"/>
      <c r="O6" s="5" t="s">
        <v>25</v>
      </c>
      <c r="P6" s="5"/>
      <c r="Q6" s="5"/>
      <c r="R6" s="5"/>
      <c r="S6" s="5"/>
      <c r="T6" s="15" t="s">
        <v>25</v>
      </c>
      <c r="U6" s="5"/>
      <c r="V6" s="5"/>
      <c r="W6" s="5"/>
      <c r="X6" s="5"/>
      <c r="Y6" s="5"/>
    </row>
    <row r="7" spans="1:27" ht="18" x14ac:dyDescent="0.2">
      <c r="A7" s="4">
        <v>4</v>
      </c>
      <c r="B7" s="1">
        <v>10</v>
      </c>
      <c r="C7" s="1">
        <v>9</v>
      </c>
      <c r="D7" s="2">
        <v>8</v>
      </c>
      <c r="E7" s="1">
        <v>6</v>
      </c>
      <c r="F7" s="1">
        <v>7</v>
      </c>
      <c r="G7" s="21" t="s">
        <v>12</v>
      </c>
      <c r="H7" s="21"/>
      <c r="I7" s="21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7" ht="18" x14ac:dyDescent="0.2">
      <c r="K8" s="9">
        <v>5</v>
      </c>
      <c r="L8" s="9">
        <v>6</v>
      </c>
      <c r="M8" s="9">
        <v>8</v>
      </c>
      <c r="N8" s="10">
        <v>9</v>
      </c>
      <c r="O8" s="11">
        <v>1</v>
      </c>
      <c r="P8" s="11">
        <v>2</v>
      </c>
      <c r="Q8" s="11">
        <v>3</v>
      </c>
      <c r="R8" s="11">
        <v>7</v>
      </c>
      <c r="S8" s="5"/>
      <c r="T8" s="12">
        <v>1</v>
      </c>
      <c r="U8" s="12">
        <v>2</v>
      </c>
      <c r="V8" s="12"/>
      <c r="W8" s="12"/>
      <c r="X8" s="12"/>
      <c r="Y8" s="12"/>
      <c r="Z8" s="13"/>
      <c r="AA8" s="13"/>
    </row>
    <row r="9" spans="1:27" ht="18" x14ac:dyDescent="0.2">
      <c r="K9" s="5" t="s">
        <v>22</v>
      </c>
      <c r="L9" s="5"/>
      <c r="M9" s="5"/>
      <c r="N9" s="5"/>
      <c r="O9" s="5"/>
      <c r="P9" s="5" t="s">
        <v>26</v>
      </c>
      <c r="Q9" s="5"/>
      <c r="R9" s="5"/>
      <c r="S9" s="5"/>
      <c r="T9" s="5"/>
      <c r="U9" s="15" t="s">
        <v>26</v>
      </c>
      <c r="V9" s="5"/>
      <c r="W9" s="5"/>
      <c r="X9" s="5"/>
      <c r="Y9" s="5"/>
    </row>
    <row r="10" spans="1:27" ht="18" x14ac:dyDescent="0.2">
      <c r="A10" s="8" t="s">
        <v>20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7" ht="18" x14ac:dyDescent="0.2">
      <c r="A11" s="6">
        <v>8</v>
      </c>
      <c r="B11" s="6">
        <v>10</v>
      </c>
      <c r="C11" s="1">
        <v>9</v>
      </c>
      <c r="D11" s="2">
        <v>4</v>
      </c>
      <c r="E11" s="1">
        <v>6</v>
      </c>
      <c r="F11" s="1">
        <v>7</v>
      </c>
      <c r="G11" s="21" t="s">
        <v>14</v>
      </c>
      <c r="H11" s="21"/>
      <c r="I11" s="21"/>
      <c r="K11" s="9">
        <v>5</v>
      </c>
      <c r="L11" s="9">
        <v>6</v>
      </c>
      <c r="M11" s="9">
        <v>8</v>
      </c>
      <c r="N11" s="10">
        <v>9</v>
      </c>
      <c r="O11" s="11">
        <v>1</v>
      </c>
      <c r="P11" s="11">
        <v>2</v>
      </c>
      <c r="Q11" s="11">
        <v>3</v>
      </c>
      <c r="R11" s="11">
        <v>7</v>
      </c>
      <c r="S11" s="5"/>
      <c r="T11" s="12">
        <v>1</v>
      </c>
      <c r="U11" s="12">
        <v>2</v>
      </c>
      <c r="V11" s="12">
        <v>3</v>
      </c>
      <c r="W11" s="12"/>
      <c r="X11" s="12"/>
      <c r="Y11" s="12"/>
      <c r="Z11" s="13"/>
      <c r="AA11" s="13"/>
    </row>
    <row r="12" spans="1:27" ht="18" x14ac:dyDescent="0.2">
      <c r="A12" s="3"/>
      <c r="B12" s="3"/>
      <c r="C12" s="3"/>
      <c r="D12" s="3"/>
      <c r="E12" s="3"/>
      <c r="F12" s="3"/>
      <c r="G12" s="3"/>
      <c r="H12" s="3"/>
      <c r="I12" s="3"/>
      <c r="K12" s="5" t="s">
        <v>22</v>
      </c>
      <c r="L12" s="5"/>
      <c r="M12" s="5"/>
      <c r="N12" s="5"/>
      <c r="O12" s="5"/>
      <c r="P12" s="5"/>
      <c r="Q12" s="5" t="s">
        <v>23</v>
      </c>
      <c r="R12" s="5"/>
      <c r="S12" s="5"/>
      <c r="T12" s="5"/>
      <c r="U12" s="5"/>
      <c r="V12" s="15" t="s">
        <v>28</v>
      </c>
      <c r="W12" s="5"/>
      <c r="X12" s="5"/>
      <c r="Y12" s="5"/>
    </row>
    <row r="13" spans="1:27" ht="18" x14ac:dyDescent="0.2">
      <c r="A13" s="3"/>
      <c r="B13" s="3"/>
      <c r="C13" s="3"/>
      <c r="D13" s="3"/>
      <c r="E13" s="3"/>
      <c r="F13" s="3"/>
      <c r="G13" s="3"/>
      <c r="H13" s="3"/>
      <c r="I13" s="3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7" ht="18" x14ac:dyDescent="0.2">
      <c r="A14" s="1">
        <v>8</v>
      </c>
      <c r="B14" s="6">
        <v>10</v>
      </c>
      <c r="C14" s="6">
        <v>9</v>
      </c>
      <c r="D14" s="2">
        <v>4</v>
      </c>
      <c r="E14" s="1">
        <v>6</v>
      </c>
      <c r="F14" s="1">
        <v>7</v>
      </c>
      <c r="G14" s="21" t="s">
        <v>15</v>
      </c>
      <c r="H14" s="21"/>
      <c r="I14" s="21"/>
      <c r="K14" s="9">
        <v>5</v>
      </c>
      <c r="L14" s="9">
        <v>6</v>
      </c>
      <c r="M14" s="9">
        <v>8</v>
      </c>
      <c r="N14" s="10">
        <v>9</v>
      </c>
      <c r="O14" s="11">
        <v>1</v>
      </c>
      <c r="P14" s="11">
        <v>2</v>
      </c>
      <c r="Q14" s="11">
        <v>3</v>
      </c>
      <c r="R14" s="11">
        <v>7</v>
      </c>
      <c r="S14" s="5"/>
      <c r="T14" s="12">
        <v>1</v>
      </c>
      <c r="U14" s="12">
        <v>2</v>
      </c>
      <c r="V14" s="12">
        <v>3</v>
      </c>
      <c r="W14" s="12">
        <v>5</v>
      </c>
      <c r="X14" s="12"/>
      <c r="Y14" s="12"/>
      <c r="Z14" s="13"/>
      <c r="AA14" s="13"/>
    </row>
    <row r="15" spans="1:27" ht="18" x14ac:dyDescent="0.2">
      <c r="A15" s="3"/>
      <c r="B15" s="3"/>
      <c r="C15" s="3"/>
      <c r="D15" s="3"/>
      <c r="E15" s="3"/>
      <c r="F15" s="3"/>
      <c r="G15" s="3"/>
      <c r="H15" s="3"/>
      <c r="I15" s="3"/>
      <c r="K15" s="5" t="s">
        <v>27</v>
      </c>
      <c r="L15" s="5"/>
      <c r="M15" s="5"/>
      <c r="N15" s="5"/>
      <c r="O15" s="5"/>
      <c r="P15" s="5"/>
      <c r="Q15" s="5"/>
      <c r="R15" s="5" t="s">
        <v>23</v>
      </c>
      <c r="S15" s="5"/>
      <c r="T15" s="5"/>
      <c r="U15" s="5"/>
      <c r="V15" s="5"/>
      <c r="W15" s="15" t="s">
        <v>27</v>
      </c>
      <c r="X15" s="5"/>
      <c r="Y15" s="5"/>
    </row>
    <row r="16" spans="1:27" ht="18" x14ac:dyDescent="0.2">
      <c r="A16" s="3"/>
      <c r="B16" s="3"/>
      <c r="C16" s="3"/>
      <c r="D16" s="3"/>
      <c r="E16" s="3"/>
      <c r="F16" s="3"/>
      <c r="G16" s="3"/>
      <c r="H16" s="3"/>
      <c r="I16" s="3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7" ht="18" x14ac:dyDescent="0.2">
      <c r="A17" s="1">
        <v>8</v>
      </c>
      <c r="B17" s="1">
        <v>9</v>
      </c>
      <c r="C17" s="6">
        <v>10</v>
      </c>
      <c r="D17" s="7">
        <v>4</v>
      </c>
      <c r="E17" s="1">
        <v>6</v>
      </c>
      <c r="F17" s="1">
        <v>7</v>
      </c>
      <c r="G17" s="21" t="s">
        <v>16</v>
      </c>
      <c r="H17" s="21"/>
      <c r="I17" s="21"/>
      <c r="K17" s="9">
        <v>5</v>
      </c>
      <c r="L17" s="9">
        <v>6</v>
      </c>
      <c r="M17" s="9">
        <v>8</v>
      </c>
      <c r="N17" s="10">
        <v>9</v>
      </c>
      <c r="O17" s="11">
        <v>1</v>
      </c>
      <c r="P17" s="11">
        <v>2</v>
      </c>
      <c r="Q17" s="11">
        <v>3</v>
      </c>
      <c r="R17" s="11">
        <v>7</v>
      </c>
      <c r="S17" s="5"/>
      <c r="T17" s="12">
        <v>1</v>
      </c>
      <c r="U17" s="12">
        <v>2</v>
      </c>
      <c r="V17" s="12">
        <v>3</v>
      </c>
      <c r="W17" s="12">
        <v>5</v>
      </c>
      <c r="X17" s="12">
        <v>6</v>
      </c>
      <c r="Y17" s="12"/>
      <c r="Z17" s="13"/>
      <c r="AA17" s="13"/>
    </row>
    <row r="18" spans="1:27" ht="18" x14ac:dyDescent="0.2">
      <c r="A18" s="3"/>
      <c r="B18" s="3"/>
      <c r="C18" s="3"/>
      <c r="D18" s="3"/>
      <c r="E18" s="3"/>
      <c r="F18" s="3"/>
      <c r="G18" s="3"/>
      <c r="H18" s="3"/>
      <c r="I18" s="3"/>
      <c r="K18" s="5"/>
      <c r="L18" s="5" t="s">
        <v>22</v>
      </c>
      <c r="M18" s="5"/>
      <c r="N18" s="5"/>
      <c r="O18" s="5"/>
      <c r="P18" s="5"/>
      <c r="Q18" s="5"/>
      <c r="R18" s="5" t="s">
        <v>23</v>
      </c>
      <c r="S18" s="5"/>
      <c r="T18" s="5"/>
      <c r="U18" s="5"/>
      <c r="V18" s="5"/>
      <c r="W18" s="5"/>
      <c r="X18" s="15" t="s">
        <v>29</v>
      </c>
      <c r="Y18" s="5"/>
    </row>
    <row r="19" spans="1:27" ht="18" x14ac:dyDescent="0.2">
      <c r="A19" s="3"/>
      <c r="B19" s="3"/>
      <c r="C19" s="3"/>
      <c r="D19" s="3"/>
      <c r="E19" s="3"/>
      <c r="F19" s="3"/>
      <c r="G19" s="3"/>
      <c r="H19" s="3"/>
      <c r="I19" s="3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7" ht="18" x14ac:dyDescent="0.2">
      <c r="A20" s="1">
        <v>8</v>
      </c>
      <c r="B20" s="1">
        <v>9</v>
      </c>
      <c r="C20" s="1">
        <v>4</v>
      </c>
      <c r="D20" s="7">
        <v>10</v>
      </c>
      <c r="E20" s="6">
        <v>6</v>
      </c>
      <c r="F20" s="1">
        <v>7</v>
      </c>
      <c r="G20" s="21" t="s">
        <v>17</v>
      </c>
      <c r="H20" s="21"/>
      <c r="I20" s="21"/>
      <c r="K20" s="9">
        <v>5</v>
      </c>
      <c r="L20" s="9">
        <v>6</v>
      </c>
      <c r="M20" s="9">
        <v>8</v>
      </c>
      <c r="N20" s="10">
        <v>9</v>
      </c>
      <c r="O20" s="11">
        <v>1</v>
      </c>
      <c r="P20" s="11">
        <v>2</v>
      </c>
      <c r="Q20" s="11">
        <v>3</v>
      </c>
      <c r="R20" s="11">
        <v>7</v>
      </c>
      <c r="S20" s="5"/>
      <c r="T20" s="12">
        <v>1</v>
      </c>
      <c r="U20" s="12">
        <v>2</v>
      </c>
      <c r="V20" s="12">
        <v>3</v>
      </c>
      <c r="W20" s="12">
        <v>5</v>
      </c>
      <c r="X20" s="12">
        <v>6</v>
      </c>
      <c r="Y20" s="12">
        <v>7</v>
      </c>
      <c r="Z20" s="13"/>
      <c r="AA20" s="13"/>
    </row>
    <row r="21" spans="1:27" ht="18" x14ac:dyDescent="0.2">
      <c r="A21" s="3"/>
      <c r="B21" s="3"/>
      <c r="C21" s="3"/>
      <c r="D21" s="3"/>
      <c r="E21" s="3"/>
      <c r="F21" s="3"/>
      <c r="G21" s="3"/>
      <c r="H21" s="3"/>
      <c r="I21" s="3"/>
      <c r="K21" s="5"/>
      <c r="L21" s="5"/>
      <c r="M21" s="5" t="s">
        <v>22</v>
      </c>
      <c r="N21" s="5"/>
      <c r="O21" s="5"/>
      <c r="P21" s="5"/>
      <c r="Q21" s="5"/>
      <c r="R21" s="5" t="s">
        <v>23</v>
      </c>
      <c r="Y21" s="15" t="s">
        <v>30</v>
      </c>
    </row>
    <row r="22" spans="1:27" ht="18" x14ac:dyDescent="0.2">
      <c r="A22" s="3"/>
      <c r="B22" s="3"/>
      <c r="C22" s="3"/>
      <c r="D22" s="3"/>
      <c r="E22" s="3"/>
      <c r="F22" s="3"/>
      <c r="G22" s="3"/>
      <c r="H22" s="3"/>
      <c r="I22" s="3"/>
    </row>
    <row r="23" spans="1:27" ht="18" x14ac:dyDescent="0.2">
      <c r="A23" s="1">
        <v>8</v>
      </c>
      <c r="B23" s="1">
        <v>9</v>
      </c>
      <c r="C23" s="1">
        <v>4</v>
      </c>
      <c r="D23" s="2">
        <v>6</v>
      </c>
      <c r="E23" s="6">
        <v>10</v>
      </c>
      <c r="F23" s="6">
        <v>7</v>
      </c>
      <c r="G23" s="21" t="s">
        <v>18</v>
      </c>
      <c r="H23" s="21"/>
      <c r="I23" s="21"/>
    </row>
    <row r="24" spans="1:27" ht="18" x14ac:dyDescent="0.2">
      <c r="A24" s="3"/>
      <c r="B24" s="3"/>
      <c r="C24" s="3"/>
      <c r="D24" s="3"/>
      <c r="E24" s="3"/>
      <c r="F24" s="3"/>
      <c r="G24" s="3"/>
      <c r="H24" s="3"/>
      <c r="I24" s="3"/>
    </row>
    <row r="25" spans="1:27" ht="18" x14ac:dyDescent="0.2">
      <c r="A25" s="3"/>
      <c r="B25" s="3"/>
      <c r="C25" s="3"/>
      <c r="D25" s="3"/>
      <c r="E25" s="3"/>
      <c r="F25" s="3"/>
      <c r="G25" s="3"/>
      <c r="H25" s="3"/>
      <c r="I25" s="3"/>
    </row>
    <row r="26" spans="1:27" ht="18" x14ac:dyDescent="0.2">
      <c r="A26" s="1">
        <v>8</v>
      </c>
      <c r="B26" s="1">
        <v>9</v>
      </c>
      <c r="C26" s="1">
        <v>4</v>
      </c>
      <c r="D26" s="2">
        <v>6</v>
      </c>
      <c r="E26" s="1">
        <v>7</v>
      </c>
      <c r="F26" s="6">
        <v>10</v>
      </c>
      <c r="G26" s="21" t="s">
        <v>19</v>
      </c>
      <c r="H26" s="21"/>
      <c r="I26" s="21"/>
    </row>
    <row r="29" spans="1:27" ht="18" x14ac:dyDescent="0.2">
      <c r="A29" s="5" t="s">
        <v>31</v>
      </c>
      <c r="B29" s="5"/>
      <c r="C29" s="5"/>
      <c r="D29" s="5"/>
      <c r="E29" s="5"/>
      <c r="F29" s="5"/>
      <c r="G29" s="5"/>
      <c r="H29" s="5"/>
      <c r="I29" s="5"/>
      <c r="K29" s="14" t="s">
        <v>42</v>
      </c>
      <c r="L29" s="14"/>
      <c r="M29" s="14"/>
      <c r="N29" s="14"/>
      <c r="O29" s="14"/>
      <c r="P29" s="14"/>
      <c r="Q29" s="14"/>
      <c r="R29" s="14"/>
      <c r="S29" s="14"/>
      <c r="T29" s="14"/>
    </row>
    <row r="30" spans="1:27" ht="18" x14ac:dyDescent="0.2">
      <c r="A30" s="6">
        <v>8</v>
      </c>
      <c r="B30" s="1">
        <v>10</v>
      </c>
      <c r="C30" s="1">
        <v>9</v>
      </c>
      <c r="D30" s="2">
        <v>4</v>
      </c>
      <c r="E30" s="1">
        <v>6</v>
      </c>
      <c r="F30" s="1">
        <v>7</v>
      </c>
      <c r="G30" s="21" t="s">
        <v>32</v>
      </c>
      <c r="H30" s="21"/>
      <c r="I30" s="21"/>
      <c r="K30" s="17">
        <v>3</v>
      </c>
      <c r="L30" s="17">
        <v>4</v>
      </c>
      <c r="M30" s="17">
        <v>5</v>
      </c>
      <c r="N30" s="17">
        <v>2</v>
      </c>
      <c r="O30" s="17"/>
      <c r="P30" s="14"/>
      <c r="Q30" s="21" t="s">
        <v>11</v>
      </c>
      <c r="R30" s="21"/>
      <c r="S30" s="21"/>
      <c r="T30" s="21"/>
    </row>
    <row r="31" spans="1:27" ht="18" x14ac:dyDescent="0.2">
      <c r="A31" s="5" t="s">
        <v>22</v>
      </c>
      <c r="B31" s="5"/>
      <c r="C31" s="5"/>
      <c r="D31" s="5"/>
      <c r="E31" s="5"/>
      <c r="F31" s="5" t="s">
        <v>23</v>
      </c>
      <c r="G31" s="5"/>
      <c r="H31" s="5"/>
      <c r="I31" s="5"/>
      <c r="K31" s="14"/>
      <c r="L31" s="14"/>
      <c r="M31" s="14"/>
      <c r="N31" s="14"/>
      <c r="O31" s="14"/>
      <c r="P31" s="14"/>
      <c r="Q31" s="14"/>
      <c r="R31" s="14"/>
      <c r="S31" s="14"/>
      <c r="T31" s="14"/>
    </row>
    <row r="32" spans="1:27" ht="18" x14ac:dyDescent="0.2">
      <c r="A32" s="5"/>
      <c r="B32" s="5"/>
      <c r="C32" s="5"/>
      <c r="D32" s="5"/>
      <c r="E32" s="5"/>
      <c r="F32" s="5"/>
      <c r="G32" s="5"/>
      <c r="H32" s="5"/>
      <c r="I32" s="5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8" x14ac:dyDescent="0.2">
      <c r="A33" s="6">
        <v>8</v>
      </c>
      <c r="B33" s="1">
        <v>10</v>
      </c>
      <c r="C33" s="1">
        <v>9</v>
      </c>
      <c r="D33" s="2">
        <v>4</v>
      </c>
      <c r="E33" s="1">
        <v>6</v>
      </c>
      <c r="F33" s="1">
        <v>7</v>
      </c>
      <c r="G33" s="21" t="s">
        <v>33</v>
      </c>
      <c r="H33" s="21"/>
      <c r="I33" s="21"/>
      <c r="K33" s="17">
        <v>1</v>
      </c>
      <c r="L33" s="17"/>
      <c r="M33" s="17"/>
      <c r="N33" s="17"/>
      <c r="O33" s="17"/>
      <c r="P33" s="14"/>
      <c r="Q33" s="21" t="s">
        <v>44</v>
      </c>
      <c r="R33" s="21"/>
      <c r="S33" s="21"/>
      <c r="T33" s="21"/>
    </row>
    <row r="34" spans="1:20" ht="18" x14ac:dyDescent="0.2">
      <c r="A34" s="5"/>
      <c r="B34" s="5" t="s">
        <v>29</v>
      </c>
      <c r="C34" s="5"/>
      <c r="D34" s="5"/>
      <c r="E34" s="5"/>
      <c r="F34" s="5" t="s">
        <v>36</v>
      </c>
      <c r="G34" s="5"/>
      <c r="H34" s="5"/>
      <c r="I34" s="5"/>
      <c r="K34" s="14"/>
      <c r="L34" s="14"/>
      <c r="M34" s="14"/>
      <c r="N34" s="14"/>
      <c r="O34" s="14"/>
      <c r="P34" s="14"/>
      <c r="Q34" s="14"/>
      <c r="R34" s="14"/>
      <c r="S34" s="14"/>
      <c r="T34" s="14"/>
    </row>
    <row r="35" spans="1:20" ht="18" x14ac:dyDescent="0.2">
      <c r="A35" s="5"/>
      <c r="B35" s="5"/>
      <c r="C35" s="5"/>
      <c r="D35" s="5"/>
      <c r="E35" s="5"/>
      <c r="F35" s="5"/>
      <c r="G35" s="5"/>
      <c r="H35" s="5"/>
      <c r="I35" s="5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x14ac:dyDescent="0.2">
      <c r="A36" s="7">
        <v>8</v>
      </c>
      <c r="B36" s="16">
        <v>7</v>
      </c>
      <c r="C36" s="1">
        <v>9</v>
      </c>
      <c r="D36" s="2">
        <v>4</v>
      </c>
      <c r="E36" s="1">
        <v>6</v>
      </c>
      <c r="F36" s="16">
        <v>10</v>
      </c>
      <c r="G36" s="21" t="s">
        <v>38</v>
      </c>
      <c r="H36" s="21"/>
      <c r="I36" s="21"/>
      <c r="K36" s="17">
        <v>1</v>
      </c>
      <c r="L36" s="17">
        <v>3</v>
      </c>
      <c r="M36" s="17"/>
      <c r="N36" s="17"/>
      <c r="O36" s="17"/>
      <c r="P36" s="14"/>
      <c r="Q36" s="21" t="s">
        <v>45</v>
      </c>
      <c r="R36" s="21"/>
      <c r="S36" s="21"/>
      <c r="T36" s="21"/>
    </row>
    <row r="37" spans="1:20" ht="18" x14ac:dyDescent="0.2">
      <c r="A37" s="5"/>
      <c r="B37" s="5" t="s">
        <v>29</v>
      </c>
      <c r="C37" s="5"/>
      <c r="D37" s="5"/>
      <c r="E37" s="5" t="s">
        <v>37</v>
      </c>
      <c r="F37" s="5"/>
      <c r="G37" s="5"/>
      <c r="H37" s="5"/>
      <c r="I37" s="5"/>
      <c r="K37" s="14"/>
      <c r="L37" s="14" t="s">
        <v>43</v>
      </c>
      <c r="M37" s="14"/>
      <c r="N37" s="14"/>
      <c r="O37" s="14"/>
      <c r="P37" s="14"/>
      <c r="Q37" s="14"/>
      <c r="R37" s="14"/>
      <c r="S37" s="14"/>
      <c r="T37" s="14"/>
    </row>
    <row r="38" spans="1:20" ht="18" x14ac:dyDescent="0.2">
      <c r="A38" s="5"/>
      <c r="B38" s="5"/>
      <c r="C38" s="5"/>
      <c r="D38" s="5"/>
      <c r="E38" s="5"/>
      <c r="F38" s="5"/>
      <c r="G38" s="5"/>
      <c r="H38" s="5"/>
      <c r="I38" s="5"/>
      <c r="K38" s="14"/>
      <c r="L38" s="14"/>
      <c r="M38" s="14"/>
      <c r="N38" s="14"/>
      <c r="O38" s="14"/>
      <c r="P38" s="14"/>
      <c r="Q38" s="14"/>
      <c r="R38" s="14"/>
      <c r="S38" s="14"/>
      <c r="T38" s="14"/>
    </row>
    <row r="39" spans="1:20" ht="18" x14ac:dyDescent="0.2">
      <c r="A39" s="7">
        <v>8</v>
      </c>
      <c r="B39" s="1">
        <v>7</v>
      </c>
      <c r="C39" s="1">
        <v>9</v>
      </c>
      <c r="D39" s="2">
        <v>4</v>
      </c>
      <c r="E39" s="1">
        <v>6</v>
      </c>
      <c r="F39" s="1">
        <v>10</v>
      </c>
      <c r="G39" s="21" t="s">
        <v>35</v>
      </c>
      <c r="H39" s="21"/>
      <c r="I39" s="21"/>
      <c r="K39" s="17">
        <v>1</v>
      </c>
      <c r="L39" s="17">
        <v>3</v>
      </c>
      <c r="M39" s="17">
        <v>4</v>
      </c>
      <c r="N39" s="17"/>
      <c r="O39" s="17"/>
      <c r="P39" s="14"/>
      <c r="Q39" s="21" t="s">
        <v>46</v>
      </c>
      <c r="R39" s="21"/>
      <c r="S39" s="21"/>
      <c r="T39" s="21"/>
    </row>
    <row r="40" spans="1:20" ht="18" x14ac:dyDescent="0.2">
      <c r="A40" s="5"/>
      <c r="B40" s="5"/>
      <c r="C40" s="5" t="s">
        <v>34</v>
      </c>
      <c r="D40" s="5"/>
      <c r="E40" s="5" t="s">
        <v>37</v>
      </c>
      <c r="F40" s="5"/>
      <c r="G40" s="5"/>
      <c r="H40" s="5"/>
      <c r="I40" s="5"/>
      <c r="K40" s="14"/>
      <c r="L40" s="14"/>
      <c r="M40" s="14" t="s">
        <v>43</v>
      </c>
      <c r="N40" s="14"/>
      <c r="O40" s="14"/>
      <c r="P40" s="14"/>
      <c r="Q40" s="14"/>
      <c r="R40" s="14"/>
      <c r="S40" s="14"/>
      <c r="T40" s="14"/>
    </row>
    <row r="41" spans="1:20" ht="18" x14ac:dyDescent="0.2">
      <c r="A41" s="5"/>
      <c r="B41" s="5"/>
      <c r="C41" s="5"/>
      <c r="D41" s="5"/>
      <c r="E41" s="5"/>
      <c r="F41" s="5"/>
      <c r="G41" s="5"/>
      <c r="H41" s="5"/>
      <c r="I41" s="5"/>
      <c r="K41" s="14"/>
      <c r="L41" s="14"/>
      <c r="M41" s="14"/>
      <c r="N41" s="14"/>
      <c r="O41" s="14"/>
      <c r="P41" s="14"/>
      <c r="Q41" s="14"/>
      <c r="R41" s="14"/>
      <c r="S41" s="14"/>
      <c r="T41" s="14"/>
    </row>
    <row r="42" spans="1:20" ht="18" x14ac:dyDescent="0.2">
      <c r="A42" s="7">
        <v>8</v>
      </c>
      <c r="B42" s="1">
        <v>7</v>
      </c>
      <c r="C42" s="16">
        <v>6</v>
      </c>
      <c r="D42" s="2">
        <v>4</v>
      </c>
      <c r="E42" s="16">
        <v>9</v>
      </c>
      <c r="F42" s="1">
        <v>10</v>
      </c>
      <c r="G42" s="21" t="s">
        <v>39</v>
      </c>
      <c r="H42" s="21"/>
      <c r="I42" s="21"/>
      <c r="K42" s="17">
        <v>1</v>
      </c>
      <c r="L42" s="17">
        <v>3</v>
      </c>
      <c r="M42" s="17">
        <v>4</v>
      </c>
      <c r="N42" s="17">
        <v>5</v>
      </c>
      <c r="O42" s="17"/>
      <c r="P42" s="14"/>
      <c r="Q42" s="21" t="s">
        <v>47</v>
      </c>
      <c r="R42" s="21"/>
      <c r="S42" s="21"/>
      <c r="T42" s="21"/>
    </row>
    <row r="43" spans="1:20" ht="18" x14ac:dyDescent="0.2">
      <c r="A43" s="5"/>
      <c r="B43" s="5"/>
      <c r="C43" s="5"/>
      <c r="D43" s="5" t="s">
        <v>40</v>
      </c>
      <c r="E43" s="5"/>
      <c r="F43" s="5"/>
      <c r="G43" s="5"/>
      <c r="H43" s="5"/>
      <c r="I43" s="5"/>
      <c r="K43" s="14"/>
      <c r="L43" s="14"/>
      <c r="M43" s="14"/>
      <c r="N43" s="14" t="s">
        <v>43</v>
      </c>
      <c r="O43" s="14"/>
      <c r="P43" s="14"/>
      <c r="Q43" s="14"/>
      <c r="R43" s="14"/>
      <c r="S43" s="14"/>
      <c r="T43" s="14"/>
    </row>
    <row r="44" spans="1:20" ht="18" x14ac:dyDescent="0.2">
      <c r="A44" s="5"/>
      <c r="B44" s="5"/>
      <c r="C44" s="5"/>
      <c r="D44" s="5"/>
      <c r="E44" s="5"/>
      <c r="F44" s="5"/>
      <c r="G44" s="5"/>
      <c r="H44" s="5"/>
      <c r="I44" s="5"/>
      <c r="K44" s="14"/>
      <c r="L44" s="14"/>
      <c r="M44" s="14"/>
      <c r="N44" s="14"/>
      <c r="O44" s="14"/>
      <c r="P44" s="14"/>
      <c r="Q44" s="14"/>
      <c r="R44" s="14"/>
      <c r="S44" s="14"/>
      <c r="T44" s="14"/>
    </row>
    <row r="45" spans="1:20" ht="18" x14ac:dyDescent="0.2">
      <c r="A45" s="16">
        <v>4</v>
      </c>
      <c r="B45" s="1">
        <v>7</v>
      </c>
      <c r="C45" s="1">
        <v>6</v>
      </c>
      <c r="D45" s="16">
        <v>8</v>
      </c>
      <c r="E45" s="1">
        <v>9</v>
      </c>
      <c r="F45" s="1">
        <v>10</v>
      </c>
      <c r="G45" s="21" t="s">
        <v>41</v>
      </c>
      <c r="H45" s="21"/>
      <c r="I45" s="21"/>
      <c r="K45" s="17">
        <v>1</v>
      </c>
      <c r="L45" s="17">
        <v>3</v>
      </c>
      <c r="M45" s="17">
        <v>4</v>
      </c>
      <c r="N45" s="17"/>
      <c r="O45" s="17">
        <v>5</v>
      </c>
      <c r="P45" s="14"/>
      <c r="Q45" s="21" t="s">
        <v>50</v>
      </c>
      <c r="R45" s="21"/>
      <c r="S45" s="21"/>
      <c r="T45" s="21"/>
    </row>
    <row r="46" spans="1:20" ht="18" x14ac:dyDescent="0.2">
      <c r="K46" s="14"/>
      <c r="L46" s="14"/>
      <c r="M46" s="14"/>
      <c r="N46" s="14" t="s">
        <v>49</v>
      </c>
      <c r="O46" s="14"/>
      <c r="P46" s="14"/>
      <c r="Q46" s="14"/>
      <c r="R46" s="14"/>
      <c r="S46" s="14"/>
      <c r="T46" s="14"/>
    </row>
    <row r="47" spans="1:20" ht="18" x14ac:dyDescent="0.2">
      <c r="K47" s="14"/>
      <c r="L47" s="14"/>
      <c r="M47" s="14"/>
      <c r="N47" s="14"/>
      <c r="O47" s="14"/>
      <c r="P47" s="14"/>
      <c r="Q47" s="14"/>
      <c r="R47" s="14"/>
      <c r="S47" s="14"/>
      <c r="T47" s="14"/>
    </row>
    <row r="48" spans="1:20" ht="18" x14ac:dyDescent="0.2">
      <c r="K48" s="17">
        <v>1</v>
      </c>
      <c r="L48" s="17">
        <v>2</v>
      </c>
      <c r="M48" s="17">
        <v>3</v>
      </c>
      <c r="N48" s="17">
        <v>4</v>
      </c>
      <c r="O48" s="17">
        <v>5</v>
      </c>
      <c r="P48" s="14"/>
      <c r="Q48" s="21" t="s">
        <v>48</v>
      </c>
      <c r="R48" s="21"/>
      <c r="S48" s="21"/>
      <c r="T48" s="21"/>
    </row>
  </sheetData>
  <mergeCells count="25">
    <mergeCell ref="G36:I36"/>
    <mergeCell ref="G39:I39"/>
    <mergeCell ref="G42:I42"/>
    <mergeCell ref="G45:I45"/>
    <mergeCell ref="Q33:T33"/>
    <mergeCell ref="G1:I1"/>
    <mergeCell ref="G4:I4"/>
    <mergeCell ref="G7:I7"/>
    <mergeCell ref="G11:I11"/>
    <mergeCell ref="G14:I14"/>
    <mergeCell ref="S2:X2"/>
    <mergeCell ref="S3:X3"/>
    <mergeCell ref="M4:X4"/>
    <mergeCell ref="G30:I30"/>
    <mergeCell ref="G17:I17"/>
    <mergeCell ref="G20:I20"/>
    <mergeCell ref="G26:I26"/>
    <mergeCell ref="G23:I23"/>
    <mergeCell ref="Q30:T30"/>
    <mergeCell ref="G33:I33"/>
    <mergeCell ref="Q48:T48"/>
    <mergeCell ref="Q45:T45"/>
    <mergeCell ref="Q42:T42"/>
    <mergeCell ref="Q39:T39"/>
    <mergeCell ref="Q36:T3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谷雨</dc:creator>
  <cp:lastModifiedBy>谷雨</cp:lastModifiedBy>
  <dcterms:created xsi:type="dcterms:W3CDTF">2023-03-10T05:38:06Z</dcterms:created>
  <dcterms:modified xsi:type="dcterms:W3CDTF">2023-03-11T12:24:28Z</dcterms:modified>
</cp:coreProperties>
</file>