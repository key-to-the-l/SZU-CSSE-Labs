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78047\Desktop\算法设计与分析\"/>
    </mc:Choice>
  </mc:AlternateContent>
  <xr:revisionPtr revIDLastSave="0" documentId="8_{A4EADDB7-CD16-4458-B63C-B9876E486220}" xr6:coauthVersionLast="47" xr6:coauthVersionMax="47" xr10:uidLastSave="{00000000-0000-0000-0000-000000000000}"/>
  <bookViews>
    <workbookView xWindow="3915" yWindow="1155" windowWidth="21345" windowHeight="133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E25" i="1"/>
  <c r="F25" i="1" s="1"/>
  <c r="M26" i="1"/>
  <c r="K26" i="1"/>
  <c r="L25" i="1"/>
  <c r="M25" i="1" s="1"/>
  <c r="K25" i="1"/>
  <c r="K24" i="1"/>
  <c r="K23" i="1"/>
  <c r="K22" i="1"/>
  <c r="E8" i="1"/>
  <c r="F8" i="1" s="1"/>
  <c r="F47" i="1"/>
  <c r="F48" i="1"/>
  <c r="F49" i="1"/>
  <c r="F46" i="1"/>
  <c r="D23" i="1"/>
  <c r="D24" i="1"/>
  <c r="D25" i="1"/>
  <c r="D22" i="1"/>
  <c r="D6" i="1"/>
  <c r="D7" i="1"/>
  <c r="D8" i="1"/>
  <c r="D5" i="1"/>
  <c r="L24" i="1" l="1"/>
  <c r="E7" i="1"/>
  <c r="E24" i="1"/>
  <c r="E23" i="1" s="1"/>
  <c r="L23" i="1" l="1"/>
  <c r="M24" i="1"/>
  <c r="F7" i="1"/>
  <c r="E6" i="1"/>
  <c r="F24" i="1"/>
  <c r="M23" i="1" l="1"/>
  <c r="L22" i="1"/>
  <c r="M22" i="1" s="1"/>
  <c r="F6" i="1"/>
  <c r="E5" i="1"/>
  <c r="F5" i="1" s="1"/>
  <c r="F23" i="1"/>
  <c r="E22" i="1"/>
  <c r="F22" i="1" s="1"/>
</calcChain>
</file>

<file path=xl/sharedStrings.xml><?xml version="1.0" encoding="utf-8"?>
<sst xmlns="http://schemas.openxmlformats.org/spreadsheetml/2006/main" count="33" uniqueCount="16">
  <si>
    <t>规模</t>
    <phoneticPr fontId="1" type="noConversion"/>
  </si>
  <si>
    <t>实验时间</t>
    <phoneticPr fontId="1" type="noConversion"/>
  </si>
  <si>
    <t>规模的对数</t>
    <phoneticPr fontId="1" type="noConversion"/>
  </si>
  <si>
    <t>理论时间</t>
    <phoneticPr fontId="1" type="noConversion"/>
  </si>
  <si>
    <t>分治法</t>
    <phoneticPr fontId="1" type="noConversion"/>
  </si>
  <si>
    <t>暴力实验时间</t>
    <phoneticPr fontId="1" type="noConversion"/>
  </si>
  <si>
    <t>暴力实验时间的对数</t>
    <phoneticPr fontId="1" type="noConversion"/>
  </si>
  <si>
    <t>分治实验时间</t>
    <phoneticPr fontId="1" type="noConversion"/>
  </si>
  <si>
    <t>分治实验时间的对数</t>
    <phoneticPr fontId="1" type="noConversion"/>
  </si>
  <si>
    <t>穷举-分治实验时间对比</t>
    <phoneticPr fontId="1" type="noConversion"/>
  </si>
  <si>
    <t>优化前实验时间</t>
    <phoneticPr fontId="1" type="noConversion"/>
  </si>
  <si>
    <t>优化后实验时间</t>
    <phoneticPr fontId="1" type="noConversion"/>
  </si>
  <si>
    <t>暴力法优化前后对比</t>
    <phoneticPr fontId="1" type="noConversion"/>
  </si>
  <si>
    <t>实验时间/ms</t>
    <phoneticPr fontId="1" type="noConversion"/>
  </si>
  <si>
    <t>实际时间</t>
    <phoneticPr fontId="1" type="noConversion"/>
  </si>
  <si>
    <t>蛮力法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</si>
</sst>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effectLst/>
              </a:rPr>
              <a:t>蛮力</a:t>
            </a:r>
            <a:r>
              <a:rPr lang="zh-CN" altLang="zh-CN" sz="1800" b="0" i="0" baseline="0">
                <a:effectLst/>
              </a:rPr>
              <a:t>法理论</a:t>
            </a:r>
            <a:r>
              <a:rPr lang="en-US" altLang="zh-CN" sz="1800" b="0" i="0" baseline="0">
                <a:effectLst/>
              </a:rPr>
              <a:t>-</a:t>
            </a:r>
            <a:r>
              <a:rPr lang="zh-CN" altLang="zh-CN" sz="1800" b="0" i="0" baseline="0">
                <a:effectLst/>
              </a:rPr>
              <a:t>实验时间对比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实际时间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Sheet1!$D$5:$D$8</c:f>
              <c:numCache>
                <c:formatCode>General</c:formatCode>
                <c:ptCount val="4"/>
                <c:pt idx="0">
                  <c:v>-1.3952341152961127</c:v>
                </c:pt>
                <c:pt idx="1">
                  <c:v>0.59248210011407498</c:v>
                </c:pt>
                <c:pt idx="2">
                  <c:v>2.5875459691098492</c:v>
                </c:pt>
                <c:pt idx="3">
                  <c:v>4.6055409882210556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7-4409-AF88-2A303E5BBDF0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Sheet1!$F$5:$F$8</c:f>
              <c:numCache>
                <c:formatCode>General</c:formatCode>
                <c:ptCount val="4"/>
                <c:pt idx="0">
                  <c:v>-1.3944590117789442</c:v>
                </c:pt>
                <c:pt idx="1">
                  <c:v>0.60554098822105573</c:v>
                </c:pt>
                <c:pt idx="2">
                  <c:v>2.6055409882210556</c:v>
                </c:pt>
                <c:pt idx="3">
                  <c:v>4.6055409882210556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D7-4409-AF88-2A303E5BB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80432"/>
        <c:axId val="336480016"/>
      </c:scatterChart>
      <c:valAx>
        <c:axId val="33648043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6480016"/>
        <c:crosses val="autoZero"/>
        <c:crossBetween val="midCat"/>
      </c:valAx>
      <c:valAx>
        <c:axId val="3364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648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分治法理论与实际时间对比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Sheet1!$D$21</c:f>
              <c:strCache>
                <c:ptCount val="1"/>
                <c:pt idx="0">
                  <c:v>实际时间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Sheet1!$A$22:$A$25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Sheet1!$D$22:$D$25</c:f>
              <c:numCache>
                <c:formatCode>General</c:formatCode>
                <c:ptCount val="4"/>
                <c:pt idx="0">
                  <c:v>-1.2276782932770802</c:v>
                </c:pt>
                <c:pt idx="1">
                  <c:v>-4.8808242065293925E-2</c:v>
                </c:pt>
                <c:pt idx="2">
                  <c:v>0.90841531170119894</c:v>
                </c:pt>
                <c:pt idx="3">
                  <c:v>1.8588300370631068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D-4A93-A974-665B7D5499FC}"/>
            </c:ext>
          </c:extLst>
        </c:ser>
        <c:ser>
          <c:idx val="1"/>
          <c:order val="1"/>
          <c:tx>
            <c:strRef>
              <c:f>Sheet1!$F$21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Sheet1!$A$22:$A$25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Sheet1!$F$22:$F$25</c:f>
              <c:numCache>
                <c:formatCode>General</c:formatCode>
                <c:ptCount val="4"/>
                <c:pt idx="0">
                  <c:v>-1.5391099716089307</c:v>
                </c:pt>
                <c:pt idx="1">
                  <c:v>-0.36301871255324947</c:v>
                </c:pt>
                <c:pt idx="2">
                  <c:v>0.76192002405505044</c:v>
                </c:pt>
                <c:pt idx="3">
                  <c:v>1.8588300370631068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6D-4A93-A974-665B7D549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74448"/>
        <c:axId val="205674864"/>
      </c:scatterChart>
      <c:valAx>
        <c:axId val="205674448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74864"/>
        <c:crosses val="autoZero"/>
        <c:crossBetween val="midCat"/>
      </c:valAx>
      <c:valAx>
        <c:axId val="2056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7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分治法理论与实际实际对比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实际时间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Sheet1!$H$22:$H$26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Sheet1!$K$22:$K$26</c:f>
              <c:numCache>
                <c:formatCode>General</c:formatCode>
                <c:ptCount val="5"/>
                <c:pt idx="0">
                  <c:v>-2.1450869776921446</c:v>
                </c:pt>
                <c:pt idx="1">
                  <c:v>-0.99391921728390609</c:v>
                </c:pt>
                <c:pt idx="2">
                  <c:v>0.10377294309108165</c:v>
                </c:pt>
                <c:pt idx="3">
                  <c:v>1.1200768402642363</c:v>
                </c:pt>
                <c:pt idx="4">
                  <c:v>2.1914090921247977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B1-491E-A1F4-EED2A367C577}"/>
            </c:ext>
          </c:extLst>
        </c:ser>
        <c:ser>
          <c:idx val="1"/>
          <c:order val="1"/>
          <c:tx>
            <c:strRef>
              <c:f>Sheet1!$M$21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Sheet1!$H$22:$H$26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Sheet1!$M$22:$M$26</c:f>
              <c:numCache>
                <c:formatCode>General</c:formatCode>
                <c:ptCount val="5"/>
                <c:pt idx="0">
                  <c:v>-2.2857121625948644</c:v>
                </c:pt>
                <c:pt idx="1">
                  <c:v>-1.1096209035391833</c:v>
                </c:pt>
                <c:pt idx="2">
                  <c:v>1.5317833069116601E-2</c:v>
                </c:pt>
                <c:pt idx="3">
                  <c:v>1.1122278460771731</c:v>
                </c:pt>
                <c:pt idx="4">
                  <c:v>2.1914090921247977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B1-491E-A1F4-EED2A367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585072"/>
        <c:axId val="334581744"/>
      </c:scatterChart>
      <c:valAx>
        <c:axId val="33458507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4581744"/>
        <c:crosses val="autoZero"/>
        <c:crossBetween val="midCat"/>
      </c:valAx>
      <c:valAx>
        <c:axId val="3345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458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蛮力法与分治法时间对比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Sheet1!$D$45</c:f>
              <c:strCache>
                <c:ptCount val="1"/>
                <c:pt idx="0">
                  <c:v>暴力实验时间的对数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Sheet1!$A$46:$A$49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Sheet1!$D$46:$D$49</c:f>
              <c:numCache>
                <c:formatCode>General</c:formatCode>
                <c:ptCount val="4"/>
                <c:pt idx="0">
                  <c:v>-1.3952341152961127</c:v>
                </c:pt>
                <c:pt idx="1">
                  <c:v>0.59248210011407498</c:v>
                </c:pt>
                <c:pt idx="2">
                  <c:v>2.5875459691098492</c:v>
                </c:pt>
                <c:pt idx="3">
                  <c:v>4.6055409882210556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37-4D00-932D-52616A43D247}"/>
            </c:ext>
          </c:extLst>
        </c:ser>
        <c:ser>
          <c:idx val="1"/>
          <c:order val="1"/>
          <c:tx>
            <c:strRef>
              <c:f>Sheet1!$F$45</c:f>
              <c:strCache>
                <c:ptCount val="1"/>
                <c:pt idx="0">
                  <c:v>分治实验时间的对数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Sheet1!$A$46:$A$49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Sheet1!$F$46:$F$49</c:f>
              <c:numCache>
                <c:formatCode>General</c:formatCode>
                <c:ptCount val="4"/>
                <c:pt idx="0">
                  <c:v>-1.2276782932770802</c:v>
                </c:pt>
                <c:pt idx="1">
                  <c:v>-4.8808242065293925E-2</c:v>
                </c:pt>
                <c:pt idx="2">
                  <c:v>0.90841531170119894</c:v>
                </c:pt>
                <c:pt idx="3">
                  <c:v>1.8588300370631068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37-4D00-932D-52616A43D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69792"/>
        <c:axId val="436571456"/>
      </c:scatterChart>
      <c:valAx>
        <c:axId val="43656979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571456"/>
        <c:crosses val="autoZero"/>
        <c:crossBetween val="midCat"/>
      </c:valAx>
      <c:valAx>
        <c:axId val="4365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56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</xdr:row>
      <xdr:rowOff>23812</xdr:rowOff>
    </xdr:from>
    <xdr:to>
      <xdr:col>9</xdr:col>
      <xdr:colOff>609600</xdr:colOff>
      <xdr:row>16</xdr:row>
      <xdr:rowOff>52387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D2EB043-6CB3-4770-96C0-5EBC9D076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9</xdr:row>
      <xdr:rowOff>47625</xdr:rowOff>
    </xdr:from>
    <xdr:to>
      <xdr:col>4</xdr:col>
      <xdr:colOff>838200</xdr:colOff>
      <xdr:row>24</xdr:row>
      <xdr:rowOff>76200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2D77C4D-EAB9-4E97-975F-173B83E8A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542924</xdr:colOff>
      <xdr:row>13</xdr:row>
      <xdr:rowOff>152399</xdr:rowOff>
    </xdr:from>
    <xdr:to>
      <xdr:col>14</xdr:col>
      <xdr:colOff>666749</xdr:colOff>
      <xdr:row>32</xdr:row>
      <xdr:rowOff>19049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651D4C3B-9A2A-43BA-8A4D-16554A558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395287</xdr:colOff>
      <xdr:row>20</xdr:row>
      <xdr:rowOff>9525</xdr:rowOff>
    </xdr:from>
    <xdr:to>
      <xdr:col>6</xdr:col>
      <xdr:colOff>71437</xdr:colOff>
      <xdr:row>35</xdr:row>
      <xdr:rowOff>38100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801496C-D1D1-46FE-AC76-7A77BAEA6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9"/>
  <sheetViews>
    <sheetView tabSelected="1" topLeftCell="B4" workbookViewId="0">
      <selection activeCell="N36" sqref="N36"/>
    </sheetView>
  </sheetViews>
  <sheetFormatPr defaultRowHeight="14.25" x14ac:dyDescent="0.2"/>
  <cols>
    <col min="2" max="2" width="11" customWidth="1"/>
    <col min="3" max="3" width="14.25" customWidth="1"/>
    <col min="4" max="4" width="16.5" customWidth="1"/>
    <col min="5" max="5" width="13.5" customWidth="1"/>
    <col min="6" max="6" width="20" customWidth="1"/>
  </cols>
  <sheetData>
    <row r="3" spans="1:6" x14ac:dyDescent="0.2">
      <c r="A3" s="5" t="s">
        <v>15</v>
      </c>
      <c r="B3" s="5"/>
      <c r="C3" s="5"/>
      <c r="D3" s="5"/>
      <c r="E3" s="5"/>
      <c r="F3" s="5"/>
    </row>
    <row r="4" spans="1:6" x14ac:dyDescent="0.2">
      <c r="A4" s="2" t="s">
        <v>0</v>
      </c>
      <c r="B4" s="2" t="s">
        <v>2</v>
      </c>
      <c r="C4" s="2" t="s">
        <v>13</v>
      </c>
      <c r="D4" s="2" t="s">
        <v>14</v>
      </c>
      <c r="E4" s="2" t="s">
        <v>3</v>
      </c>
      <c r="F4" s="2" t="s">
        <v>3</v>
      </c>
    </row>
    <row r="5" spans="1:6" x14ac:dyDescent="0.2">
      <c r="A5" s="2">
        <v>100</v>
      </c>
      <c r="B5" s="2">
        <v>2</v>
      </c>
      <c r="C5" s="2">
        <v>4.0250000000000001E-2</v>
      </c>
      <c r="D5" s="2">
        <f>LOG(C5)</f>
        <v>-1.3952341152961127</v>
      </c>
      <c r="E5" s="2">
        <f>E6/100</f>
        <v>4.0321900000000001E-2</v>
      </c>
      <c r="F5" s="2">
        <f>LOG(E5)</f>
        <v>-1.3944590117789442</v>
      </c>
    </row>
    <row r="6" spans="1:6" x14ac:dyDescent="0.2">
      <c r="A6" s="2">
        <v>1000</v>
      </c>
      <c r="B6" s="2">
        <v>3</v>
      </c>
      <c r="C6" s="2">
        <v>3.91275</v>
      </c>
      <c r="D6" s="2">
        <f>LOG(C6)</f>
        <v>0.59248210011407498</v>
      </c>
      <c r="E6" s="2">
        <f>E7/100</f>
        <v>4.0321899999999999</v>
      </c>
      <c r="F6" s="2">
        <f t="shared" ref="F6:F8" si="0">LOG(E6)</f>
        <v>0.60554098822105573</v>
      </c>
    </row>
    <row r="7" spans="1:6" x14ac:dyDescent="0.2">
      <c r="A7" s="2">
        <v>10000</v>
      </c>
      <c r="B7" s="2">
        <v>4</v>
      </c>
      <c r="C7" s="2">
        <v>386.85300000000001</v>
      </c>
      <c r="D7" s="2">
        <f>LOG(C7)</f>
        <v>2.5875459691098492</v>
      </c>
      <c r="E7" s="2">
        <f>E8/100</f>
        <v>403.21899999999999</v>
      </c>
      <c r="F7" s="2">
        <f t="shared" si="0"/>
        <v>2.6055409882210556</v>
      </c>
    </row>
    <row r="8" spans="1:6" x14ac:dyDescent="0.2">
      <c r="A8" s="2">
        <v>100000</v>
      </c>
      <c r="B8" s="2">
        <v>5</v>
      </c>
      <c r="C8" s="2">
        <v>40321.9</v>
      </c>
      <c r="D8" s="2">
        <f>LOG(C8)</f>
        <v>4.6055409882210556</v>
      </c>
      <c r="E8" s="2">
        <f>C8</f>
        <v>40321.9</v>
      </c>
      <c r="F8" s="2">
        <f t="shared" si="0"/>
        <v>4.6055409882210556</v>
      </c>
    </row>
    <row r="11" spans="1:6" x14ac:dyDescent="0.2">
      <c r="A11" s="1" t="s">
        <v>12</v>
      </c>
      <c r="B11" s="1"/>
      <c r="C11" s="1"/>
      <c r="D11" s="1"/>
    </row>
    <row r="12" spans="1:6" x14ac:dyDescent="0.2">
      <c r="A12" t="s">
        <v>0</v>
      </c>
      <c r="B12" t="s">
        <v>2</v>
      </c>
      <c r="C12" t="s">
        <v>10</v>
      </c>
      <c r="D12" t="s">
        <v>11</v>
      </c>
    </row>
    <row r="13" spans="1:6" x14ac:dyDescent="0.2">
      <c r="A13">
        <v>100</v>
      </c>
      <c r="B13">
        <v>2</v>
      </c>
      <c r="C13">
        <v>0.22800000000000001</v>
      </c>
      <c r="D13">
        <v>0.216</v>
      </c>
    </row>
    <row r="14" spans="1:6" x14ac:dyDescent="0.2">
      <c r="A14">
        <v>1000</v>
      </c>
      <c r="B14">
        <v>3</v>
      </c>
      <c r="C14">
        <v>21.716000000000001</v>
      </c>
      <c r="D14">
        <v>19.934999999999999</v>
      </c>
    </row>
    <row r="15" spans="1:6" x14ac:dyDescent="0.2">
      <c r="A15">
        <v>10000</v>
      </c>
      <c r="B15">
        <v>4</v>
      </c>
      <c r="C15">
        <v>2207</v>
      </c>
      <c r="D15">
        <v>1989</v>
      </c>
    </row>
    <row r="16" spans="1:6" x14ac:dyDescent="0.2">
      <c r="A16">
        <v>100000</v>
      </c>
      <c r="B16">
        <v>5</v>
      </c>
      <c r="C16">
        <v>219343</v>
      </c>
      <c r="D16">
        <v>207297</v>
      </c>
    </row>
    <row r="20" spans="1:13" x14ac:dyDescent="0.2">
      <c r="A20" s="5" t="s">
        <v>4</v>
      </c>
      <c r="B20" s="5"/>
      <c r="C20" s="5"/>
      <c r="D20" s="5"/>
      <c r="E20" s="5"/>
      <c r="F20" s="5"/>
      <c r="H20" s="5" t="s">
        <v>4</v>
      </c>
      <c r="I20" s="5"/>
      <c r="J20" s="5"/>
      <c r="K20" s="5"/>
      <c r="L20" s="5"/>
      <c r="M20" s="5"/>
    </row>
    <row r="21" spans="1:13" x14ac:dyDescent="0.2">
      <c r="A21" s="3" t="s">
        <v>0</v>
      </c>
      <c r="B21" s="3" t="s">
        <v>2</v>
      </c>
      <c r="C21" s="3" t="s">
        <v>1</v>
      </c>
      <c r="D21" s="3" t="s">
        <v>14</v>
      </c>
      <c r="E21" s="3" t="s">
        <v>3</v>
      </c>
      <c r="F21" s="3" t="s">
        <v>3</v>
      </c>
      <c r="H21" s="3" t="s">
        <v>0</v>
      </c>
      <c r="I21" s="3" t="s">
        <v>2</v>
      </c>
      <c r="J21" s="3" t="s">
        <v>1</v>
      </c>
      <c r="K21" s="3" t="s">
        <v>14</v>
      </c>
      <c r="L21" s="3" t="s">
        <v>3</v>
      </c>
      <c r="M21" s="3" t="s">
        <v>3</v>
      </c>
    </row>
    <row r="22" spans="1:13" x14ac:dyDescent="0.2">
      <c r="A22" s="3">
        <v>100</v>
      </c>
      <c r="B22" s="3">
        <v>2</v>
      </c>
      <c r="C22" s="3">
        <v>5.9200000000000003E-2</v>
      </c>
      <c r="D22" s="3">
        <f>LOG(C22)</f>
        <v>-1.2276782932770802</v>
      </c>
      <c r="E22" s="3">
        <f>E23/15</f>
        <v>2.8899479999999998E-2</v>
      </c>
      <c r="F22" s="3">
        <f>LOG(E22)</f>
        <v>-1.5391099716089307</v>
      </c>
      <c r="H22" s="3">
        <v>100</v>
      </c>
      <c r="I22" s="3">
        <v>2</v>
      </c>
      <c r="J22" s="3">
        <v>7.1599999999999997E-3</v>
      </c>
      <c r="K22" s="3">
        <f>LOG(J22)</f>
        <v>-2.1450869776921446</v>
      </c>
      <c r="L22" s="3">
        <f>L23/15</f>
        <v>5.1794999999999992E-3</v>
      </c>
      <c r="M22" s="3">
        <f>LOG(L22)</f>
        <v>-2.2857121625948644</v>
      </c>
    </row>
    <row r="23" spans="1:13" x14ac:dyDescent="0.2">
      <c r="A23" s="3">
        <v>1000</v>
      </c>
      <c r="B23" s="3">
        <v>3</v>
      </c>
      <c r="C23" s="3">
        <v>0.89370000000000005</v>
      </c>
      <c r="D23" s="3">
        <f t="shared" ref="D23:D26" si="1">LOG(C23)</f>
        <v>-4.8808242065293925E-2</v>
      </c>
      <c r="E23" s="3">
        <f>E24/4*3/10</f>
        <v>0.43349219999999999</v>
      </c>
      <c r="F23" s="3">
        <f t="shared" ref="F23:F25" si="2">LOG(E23)</f>
        <v>-0.36301871255324947</v>
      </c>
      <c r="H23" s="3">
        <v>1000</v>
      </c>
      <c r="I23" s="3">
        <v>3</v>
      </c>
      <c r="J23" s="3">
        <v>0.10141</v>
      </c>
      <c r="K23" s="3">
        <f t="shared" ref="K23:K26" si="3">LOG(J23)</f>
        <v>-0.99391921728390609</v>
      </c>
      <c r="L23" s="3">
        <f>L24/4*3/10</f>
        <v>7.7692499999999984E-2</v>
      </c>
      <c r="M23" s="3">
        <f t="shared" ref="M23:M25" si="4">LOG(L23)</f>
        <v>-1.1096209035391833</v>
      </c>
    </row>
    <row r="24" spans="1:13" x14ac:dyDescent="0.2">
      <c r="A24" s="3">
        <v>10000</v>
      </c>
      <c r="B24" s="3">
        <v>4</v>
      </c>
      <c r="C24" s="3">
        <v>8.0986999999999991</v>
      </c>
      <c r="D24" s="3">
        <f t="shared" si="1"/>
        <v>0.90841531170119894</v>
      </c>
      <c r="E24" s="3">
        <f>E25/12.5</f>
        <v>5.7798959999999999</v>
      </c>
      <c r="F24" s="3">
        <f t="shared" si="2"/>
        <v>0.76192002405505044</v>
      </c>
      <c r="H24" s="3">
        <v>10000</v>
      </c>
      <c r="I24" s="3">
        <v>4</v>
      </c>
      <c r="J24" s="3">
        <v>1.2699100000000001</v>
      </c>
      <c r="K24" s="3">
        <f t="shared" si="3"/>
        <v>0.10377294309108165</v>
      </c>
      <c r="L24" s="3">
        <f>L25/12.5</f>
        <v>1.0358999999999998</v>
      </c>
      <c r="M24" s="3">
        <f t="shared" si="4"/>
        <v>1.5317833069116601E-2</v>
      </c>
    </row>
    <row r="25" spans="1:13" x14ac:dyDescent="0.2">
      <c r="A25" s="3">
        <v>100000</v>
      </c>
      <c r="B25" s="3">
        <v>5</v>
      </c>
      <c r="C25" s="3">
        <v>72.248699999999999</v>
      </c>
      <c r="D25" s="3">
        <f t="shared" si="1"/>
        <v>1.8588300370631068</v>
      </c>
      <c r="E25" s="3">
        <f>C25</f>
        <v>72.248699999999999</v>
      </c>
      <c r="F25" s="3">
        <f>LOG(E25)</f>
        <v>1.8588300370631068</v>
      </c>
      <c r="H25" s="3">
        <v>100000</v>
      </c>
      <c r="I25" s="3">
        <v>5</v>
      </c>
      <c r="J25" s="3">
        <v>13.184900000000001</v>
      </c>
      <c r="K25" s="3">
        <f t="shared" si="3"/>
        <v>1.1200768402642363</v>
      </c>
      <c r="L25" s="3">
        <f>L26/12</f>
        <v>12.948749999999999</v>
      </c>
      <c r="M25" s="3">
        <f t="shared" si="4"/>
        <v>1.1122278460771731</v>
      </c>
    </row>
    <row r="26" spans="1:13" x14ac:dyDescent="0.2">
      <c r="A26" s="4"/>
      <c r="B26" s="4"/>
      <c r="C26" s="4"/>
      <c r="D26" s="4"/>
      <c r="E26" s="4"/>
      <c r="F26" s="4"/>
      <c r="H26" s="4">
        <v>1000000</v>
      </c>
      <c r="I26" s="4">
        <v>6</v>
      </c>
      <c r="J26" s="4">
        <v>155.38499999999999</v>
      </c>
      <c r="K26" s="4">
        <f t="shared" si="3"/>
        <v>2.1914090921247977</v>
      </c>
      <c r="L26" s="4">
        <v>155.38499999999999</v>
      </c>
      <c r="M26" s="4">
        <f>LOG(L26)</f>
        <v>2.1914090921247977</v>
      </c>
    </row>
    <row r="44" spans="1:6" x14ac:dyDescent="0.2">
      <c r="A44" s="1" t="s">
        <v>9</v>
      </c>
      <c r="B44" s="1"/>
      <c r="C44" s="1"/>
      <c r="D44" s="1"/>
      <c r="E44" s="1"/>
      <c r="F44" s="1"/>
    </row>
    <row r="45" spans="1:6" x14ac:dyDescent="0.2">
      <c r="A45" s="3" t="s">
        <v>0</v>
      </c>
      <c r="B45" s="3" t="s">
        <v>2</v>
      </c>
      <c r="C45" s="3" t="s">
        <v>5</v>
      </c>
      <c r="D45" s="3" t="s">
        <v>6</v>
      </c>
      <c r="E45" s="3" t="s">
        <v>7</v>
      </c>
      <c r="F45" s="3" t="s">
        <v>8</v>
      </c>
    </row>
    <row r="46" spans="1:6" x14ac:dyDescent="0.2">
      <c r="A46" s="3">
        <v>100</v>
      </c>
      <c r="B46" s="3">
        <v>2</v>
      </c>
      <c r="C46" s="2">
        <v>4.0250000000000001E-2</v>
      </c>
      <c r="D46" s="2">
        <f>LOG(C46)</f>
        <v>-1.3952341152961127</v>
      </c>
      <c r="E46" s="3">
        <v>5.9200000000000003E-2</v>
      </c>
      <c r="F46" s="3">
        <f>LOG(E46)</f>
        <v>-1.2276782932770802</v>
      </c>
    </row>
    <row r="47" spans="1:6" x14ac:dyDescent="0.2">
      <c r="A47" s="3">
        <v>1000</v>
      </c>
      <c r="B47" s="3">
        <v>3</v>
      </c>
      <c r="C47" s="2">
        <v>3.91275</v>
      </c>
      <c r="D47" s="2">
        <f>LOG(C47)</f>
        <v>0.59248210011407498</v>
      </c>
      <c r="E47" s="3">
        <v>0.89370000000000005</v>
      </c>
      <c r="F47" s="3">
        <f t="shared" ref="F47:F49" si="5">LOG(E47)</f>
        <v>-4.8808242065293925E-2</v>
      </c>
    </row>
    <row r="48" spans="1:6" x14ac:dyDescent="0.2">
      <c r="A48" s="3">
        <v>10000</v>
      </c>
      <c r="B48" s="3">
        <v>4</v>
      </c>
      <c r="C48" s="2">
        <v>386.85300000000001</v>
      </c>
      <c r="D48" s="2">
        <f>LOG(C48)</f>
        <v>2.5875459691098492</v>
      </c>
      <c r="E48" s="3">
        <v>8.0986999999999991</v>
      </c>
      <c r="F48" s="3">
        <f t="shared" si="5"/>
        <v>0.90841531170119894</v>
      </c>
    </row>
    <row r="49" spans="1:6" x14ac:dyDescent="0.2">
      <c r="A49" s="3">
        <v>100000</v>
      </c>
      <c r="B49" s="3">
        <v>5</v>
      </c>
      <c r="C49" s="2">
        <v>40321.9</v>
      </c>
      <c r="D49" s="2">
        <f>LOG(C49)</f>
        <v>4.6055409882210556</v>
      </c>
      <c r="E49" s="3">
        <v>72.248699999999999</v>
      </c>
      <c r="F49" s="3">
        <f t="shared" si="5"/>
        <v>1.8588300370631068</v>
      </c>
    </row>
  </sheetData>
  <mergeCells count="5">
    <mergeCell ref="A3:F3"/>
    <mergeCell ref="A20:F20"/>
    <mergeCell ref="A44:F44"/>
    <mergeCell ref="A11:D11"/>
    <mergeCell ref="H20:M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邱棕胜</dc:creator>
  <cp:lastModifiedBy>谷雨</cp:lastModifiedBy>
  <dcterms:created xsi:type="dcterms:W3CDTF">2015-06-05T18:19:34Z</dcterms:created>
  <dcterms:modified xsi:type="dcterms:W3CDTF">2023-03-29T14:56:19Z</dcterms:modified>
</cp:coreProperties>
</file>