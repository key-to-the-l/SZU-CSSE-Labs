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047\Desktop\"/>
    </mc:Choice>
  </mc:AlternateContent>
  <xr:revisionPtr revIDLastSave="0" documentId="8_{9A17FC46-50B7-4DA9-B2B7-DC2DD839CA14}" xr6:coauthVersionLast="47" xr6:coauthVersionMax="47" xr10:uidLastSave="{00000000-0000-0000-0000-000000000000}"/>
  <bookViews>
    <workbookView xWindow="7395" yWindow="1770" windowWidth="15855" windowHeight="11835" xr2:uid="{7274B16A-BCB2-41DF-9E89-93C7BF4445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E14" i="1" s="1"/>
  <c r="F20" i="1"/>
  <c r="F21" i="1"/>
  <c r="F23" i="1"/>
  <c r="F22" i="1"/>
  <c r="E21" i="1"/>
  <c r="E20" i="1" s="1"/>
  <c r="E23" i="1"/>
  <c r="E22" i="1" s="1"/>
  <c r="D21" i="1"/>
  <c r="D23" i="1"/>
  <c r="B23" i="1"/>
  <c r="D22" i="1"/>
  <c r="B22" i="1"/>
  <c r="B21" i="1"/>
  <c r="B20" i="1"/>
  <c r="D14" i="1"/>
  <c r="D15" i="1"/>
  <c r="B13" i="1"/>
  <c r="B14" i="1"/>
  <c r="B15" i="1"/>
  <c r="B12" i="1"/>
  <c r="F14" i="1" l="1"/>
  <c r="E13" i="1"/>
  <c r="F15" i="1"/>
  <c r="F13" i="1" l="1"/>
  <c r="E12" i="1"/>
  <c r="F12" i="1" s="1"/>
</calcChain>
</file>

<file path=xl/sharedStrings.xml><?xml version="1.0" encoding="utf-8"?>
<sst xmlns="http://schemas.openxmlformats.org/spreadsheetml/2006/main" count="22" uniqueCount="15">
  <si>
    <t>在第i层扔鸡蛋</t>
    <phoneticPr fontId="1" type="noConversion"/>
  </si>
  <si>
    <t>dp(k,n)</t>
    <phoneticPr fontId="1" type="noConversion"/>
  </si>
  <si>
    <t>没碎:dp(k,n-i)</t>
    <phoneticPr fontId="1" type="noConversion"/>
  </si>
  <si>
    <t>碎了:dp(k-1,i-1)</t>
    <phoneticPr fontId="1" type="noConversion"/>
  </si>
  <si>
    <t>dp(k,m)</t>
    <phoneticPr fontId="1" type="noConversion"/>
  </si>
  <si>
    <t>没碎:dp(k,m-1)层</t>
    <phoneticPr fontId="1" type="noConversion"/>
  </si>
  <si>
    <t>碎了:dp(k-1,m-1)层</t>
    <phoneticPr fontId="1" type="noConversion"/>
  </si>
  <si>
    <t>lgn</t>
    <phoneticPr fontId="1" type="noConversion"/>
  </si>
  <si>
    <t>lgt</t>
    <phoneticPr fontId="1" type="noConversion"/>
  </si>
  <si>
    <t>t/ms</t>
    <phoneticPr fontId="1" type="noConversion"/>
  </si>
  <si>
    <t>n/层</t>
    <phoneticPr fontId="1" type="noConversion"/>
  </si>
  <si>
    <t>鸡蛋数k=10</t>
    <phoneticPr fontId="1" type="noConversion"/>
  </si>
  <si>
    <t>鸡蛋数k=100</t>
    <phoneticPr fontId="1" type="noConversion"/>
  </si>
  <si>
    <t>理论lgt</t>
    <phoneticPr fontId="1" type="noConversion"/>
  </si>
  <si>
    <t>理论t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</si>
</sst>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k=100</a:t>
            </a:r>
            <a:r>
              <a:rPr lang="zh-CN" altLang="zh-CN" sz="1800" b="0" i="0" baseline="0">
                <a:effectLst/>
              </a:rPr>
              <a:t>时理论与实际对比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Sheet1!$D$19</c:f>
              <c:strCache>
                <c:ptCount val="1"/>
                <c:pt idx="0">
                  <c:v>lgt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Sheet1!$A$20:$A$23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Sheet1!$D$20:$D$23</c:f>
              <c:numCache>
                <c:formatCode>General</c:formatCode>
                <c:ptCount val="4"/>
                <c:pt idx="0">
                  <c:v>0</c:v>
                </c:pt>
                <c:pt idx="1">
                  <c:v>0.47712125471966244</c:v>
                </c:pt>
                <c:pt idx="2">
                  <c:v>2.6138418218760693</c:v>
                </c:pt>
                <c:pt idx="3">
                  <c:v>4.6193959785135341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8C-4CE8-8E47-63CA8F295925}"/>
            </c:ext>
          </c:extLst>
        </c:ser>
        <c:ser>
          <c:idx val="1"/>
          <c:order val="1"/>
          <c:tx>
            <c:strRef>
              <c:f>Sheet1!$F$19</c:f>
              <c:strCache>
                <c:ptCount val="1"/>
                <c:pt idx="0">
                  <c:v>理论lgt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Sheet1!$A$20:$A$23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Sheet1!$F$20:$F$23</c:f>
              <c:numCache>
                <c:formatCode>General</c:formatCode>
                <c:ptCount val="4"/>
                <c:pt idx="0">
                  <c:v>-1.3806040214864657</c:v>
                </c:pt>
                <c:pt idx="1">
                  <c:v>0.61939597851353434</c:v>
                </c:pt>
                <c:pt idx="2">
                  <c:v>2.6193959785135341</c:v>
                </c:pt>
                <c:pt idx="3">
                  <c:v>4.6193959785135341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8C-4CE8-8E47-63CA8F295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469631"/>
        <c:axId val="661470463"/>
      </c:scatterChart>
      <c:valAx>
        <c:axId val="661469631"/>
        <c:scaling>
          <c:logBase val="10"/>
          <c:orientation val="minMax"/>
          <c:max val="1000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1470463"/>
        <c:crosses val="autoZero"/>
        <c:crossBetween val="midCat"/>
      </c:valAx>
      <c:valAx>
        <c:axId val="66147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14696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800" b="0" i="0" baseline="0">
                <a:effectLst/>
              </a:rPr>
              <a:t>k=10</a:t>
            </a:r>
            <a:r>
              <a:rPr lang="zh-CN" altLang="zh-CN" sz="1800" b="0" i="0" baseline="0">
                <a:effectLst/>
              </a:rPr>
              <a:t>时理论与实际对比</a:t>
            </a:r>
            <a:endParaRPr lang="zh-CN" altLang="zh-CN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Sheet1!$D$11</c:f>
              <c:strCache>
                <c:ptCount val="1"/>
                <c:pt idx="0">
                  <c:v>lgt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Sheet1!$A$12:$A$15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Sheet1!$D$12:$D$15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1.5910646070264991</c:v>
                </c:pt>
                <c:pt idx="3">
                  <c:v>3.5900612308037427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78-4FF0-B1FC-92D6B816BC3F}"/>
            </c:ext>
          </c:extLst>
        </c:ser>
        <c:ser>
          <c:idx val="1"/>
          <c:order val="1"/>
          <c:tx>
            <c:strRef>
              <c:f>Sheet1!$F$11</c:f>
              <c:strCache>
                <c:ptCount val="1"/>
                <c:pt idx="0">
                  <c:v>理论lgt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Sheet1!$A$12:$A$15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Sheet1!$F$12:$F$15</c:f>
              <c:numCache>
                <c:formatCode>General</c:formatCode>
                <c:ptCount val="4"/>
                <c:pt idx="0">
                  <c:v>-2.4099387691962577</c:v>
                </c:pt>
                <c:pt idx="1">
                  <c:v>-0.40993876919625755</c:v>
                </c:pt>
                <c:pt idx="2">
                  <c:v>1.5900612308037425</c:v>
                </c:pt>
                <c:pt idx="3">
                  <c:v>3.5900612308037427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78-4FF0-B1FC-92D6B816B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943311"/>
        <c:axId val="716943727"/>
      </c:scatterChart>
      <c:valAx>
        <c:axId val="716943311"/>
        <c:scaling>
          <c:logBase val="10"/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6943727"/>
        <c:crosses val="autoZero"/>
        <c:crossBetween val="midCat"/>
      </c:valAx>
      <c:valAx>
        <c:axId val="71694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6943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471487</xdr:colOff>
      <xdr:row>16</xdr:row>
      <xdr:rowOff>128587</xdr:rowOff>
    </xdr:from>
    <xdr:to>
      <xdr:col>6</xdr:col>
      <xdr:colOff>833437</xdr:colOff>
      <xdr:row>31</xdr:row>
      <xdr:rowOff>157162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9E20EC4-11A0-49BB-BB25-BAFA95B40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185737</xdr:colOff>
      <xdr:row>1</xdr:row>
      <xdr:rowOff>71437</xdr:rowOff>
    </xdr:from>
    <xdr:to>
      <xdr:col>6</xdr:col>
      <xdr:colOff>1233487</xdr:colOff>
      <xdr:row>14</xdr:row>
      <xdr:rowOff>4762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7A6F374A-ABE9-4EB3-916D-9CDFFF506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27DA-C40A-4188-9579-D2493BDFD6F7}">
  <dimension ref="A2:G23"/>
  <sheetViews>
    <sheetView tabSelected="1" topLeftCell="A4" workbookViewId="0">
      <selection activeCell="F11" activeCellId="2" sqref="A11:A15 D11:D15 F11:F15"/>
    </sheetView>
  </sheetViews>
  <sheetFormatPr defaultRowHeight="14.25" x14ac:dyDescent="0.2"/>
  <cols>
    <col min="3" max="3" width="19.25" customWidth="1"/>
    <col min="7" max="7" width="23.625" customWidth="1"/>
  </cols>
  <sheetData>
    <row r="2" spans="1:7" ht="20.25" x14ac:dyDescent="0.2">
      <c r="A2" s="7" t="s">
        <v>1</v>
      </c>
      <c r="B2" s="6">
        <v>6</v>
      </c>
      <c r="C2" s="3" t="s">
        <v>2</v>
      </c>
      <c r="E2" s="7" t="s">
        <v>4</v>
      </c>
      <c r="F2" s="6">
        <v>6</v>
      </c>
      <c r="G2" s="3" t="s">
        <v>5</v>
      </c>
    </row>
    <row r="3" spans="1:7" ht="20.25" x14ac:dyDescent="0.2">
      <c r="A3" s="7"/>
      <c r="B3" s="6">
        <v>5</v>
      </c>
      <c r="C3" s="3"/>
      <c r="E3" s="7"/>
      <c r="F3" s="6">
        <v>5</v>
      </c>
      <c r="G3" s="3"/>
    </row>
    <row r="4" spans="1:7" ht="20.25" x14ac:dyDescent="0.2">
      <c r="A4" s="7"/>
      <c r="B4" s="6">
        <v>4</v>
      </c>
      <c r="C4" s="3"/>
      <c r="E4" s="7"/>
      <c r="F4" s="6">
        <v>4</v>
      </c>
      <c r="G4" s="3"/>
    </row>
    <row r="5" spans="1:7" ht="20.25" x14ac:dyDescent="0.2">
      <c r="A5" s="7"/>
      <c r="B5" s="2">
        <v>3</v>
      </c>
      <c r="C5" s="2" t="s">
        <v>0</v>
      </c>
      <c r="E5" s="7"/>
      <c r="F5" s="2">
        <v>3</v>
      </c>
      <c r="G5" s="2" t="s">
        <v>0</v>
      </c>
    </row>
    <row r="6" spans="1:7" ht="20.25" x14ac:dyDescent="0.2">
      <c r="A6" s="7"/>
      <c r="B6" s="5">
        <v>2</v>
      </c>
      <c r="C6" s="4" t="s">
        <v>3</v>
      </c>
      <c r="E6" s="7"/>
      <c r="F6" s="5">
        <v>2</v>
      </c>
      <c r="G6" s="4" t="s">
        <v>6</v>
      </c>
    </row>
    <row r="7" spans="1:7" ht="20.25" x14ac:dyDescent="0.2">
      <c r="A7" s="7"/>
      <c r="B7" s="5">
        <v>1</v>
      </c>
      <c r="C7" s="4"/>
      <c r="E7" s="7"/>
      <c r="F7" s="5">
        <v>1</v>
      </c>
      <c r="G7" s="4"/>
    </row>
    <row r="10" spans="1:7" x14ac:dyDescent="0.2">
      <c r="A10" s="13" t="s">
        <v>11</v>
      </c>
      <c r="B10" s="8"/>
      <c r="C10" s="8"/>
      <c r="D10" s="8"/>
      <c r="E10" s="8"/>
      <c r="F10" s="8"/>
    </row>
    <row r="11" spans="1:7" x14ac:dyDescent="0.2">
      <c r="A11" s="1" t="s">
        <v>10</v>
      </c>
      <c r="B11" s="1" t="s">
        <v>7</v>
      </c>
      <c r="C11" s="1" t="s">
        <v>9</v>
      </c>
      <c r="D11" s="1" t="s">
        <v>8</v>
      </c>
      <c r="E11" s="9" t="s">
        <v>14</v>
      </c>
      <c r="F11" s="9" t="s">
        <v>13</v>
      </c>
    </row>
    <row r="12" spans="1:7" x14ac:dyDescent="0.2">
      <c r="A12" s="1">
        <v>10</v>
      </c>
      <c r="B12" s="1">
        <f>LOG(A12)</f>
        <v>1</v>
      </c>
      <c r="C12" s="1">
        <v>0</v>
      </c>
      <c r="D12" s="1">
        <v>0</v>
      </c>
      <c r="E12" s="1">
        <f t="shared" ref="E12:E13" si="0">E13/100</f>
        <v>3.8909999999999995E-3</v>
      </c>
      <c r="F12" s="1">
        <f t="shared" ref="F12:F13" si="1">LOG(E12)</f>
        <v>-2.4099387691962577</v>
      </c>
    </row>
    <row r="13" spans="1:7" x14ac:dyDescent="0.2">
      <c r="A13" s="1">
        <v>100</v>
      </c>
      <c r="B13" s="1">
        <f t="shared" ref="B13:B15" si="2">LOG(A13)</f>
        <v>2</v>
      </c>
      <c r="C13" s="1">
        <v>0</v>
      </c>
      <c r="D13" s="1">
        <v>0</v>
      </c>
      <c r="E13" s="1">
        <f t="shared" si="0"/>
        <v>0.38909999999999995</v>
      </c>
      <c r="F13" s="1">
        <f t="shared" si="1"/>
        <v>-0.40993876919625755</v>
      </c>
    </row>
    <row r="14" spans="1:7" x14ac:dyDescent="0.2">
      <c r="A14" s="1">
        <v>1000</v>
      </c>
      <c r="B14" s="1">
        <f t="shared" si="2"/>
        <v>3</v>
      </c>
      <c r="C14" s="1">
        <v>39</v>
      </c>
      <c r="D14" s="1">
        <f t="shared" ref="D13:D15" si="3">LOG(C14)</f>
        <v>1.5910646070264991</v>
      </c>
      <c r="E14" s="1">
        <f>E15/100</f>
        <v>38.909999999999997</v>
      </c>
      <c r="F14" s="1">
        <f>LOG(E14)</f>
        <v>1.5900612308037425</v>
      </c>
    </row>
    <row r="15" spans="1:7" x14ac:dyDescent="0.2">
      <c r="A15" s="1">
        <v>10000</v>
      </c>
      <c r="B15" s="1">
        <f t="shared" si="2"/>
        <v>4</v>
      </c>
      <c r="C15" s="1">
        <v>3891</v>
      </c>
      <c r="D15" s="1">
        <f t="shared" si="3"/>
        <v>3.5900612308037427</v>
      </c>
      <c r="E15" s="1">
        <f>C15</f>
        <v>3891</v>
      </c>
      <c r="F15" s="1">
        <f>LOG(E15)</f>
        <v>3.5900612308037427</v>
      </c>
    </row>
    <row r="18" spans="1:6" x14ac:dyDescent="0.2">
      <c r="A18" s="10" t="s">
        <v>12</v>
      </c>
      <c r="B18" s="11"/>
      <c r="C18" s="11"/>
      <c r="D18" s="11"/>
      <c r="E18" s="11"/>
      <c r="F18" s="12"/>
    </row>
    <row r="19" spans="1:6" x14ac:dyDescent="0.2">
      <c r="A19" s="1" t="s">
        <v>10</v>
      </c>
      <c r="B19" s="1" t="s">
        <v>7</v>
      </c>
      <c r="C19" s="1" t="s">
        <v>9</v>
      </c>
      <c r="D19" s="1" t="s">
        <v>8</v>
      </c>
      <c r="E19" s="9" t="s">
        <v>14</v>
      </c>
      <c r="F19" s="9" t="s">
        <v>13</v>
      </c>
    </row>
    <row r="20" spans="1:6" x14ac:dyDescent="0.2">
      <c r="A20" s="1">
        <v>10</v>
      </c>
      <c r="B20" s="1">
        <f>LOG(A20)</f>
        <v>1</v>
      </c>
      <c r="C20" s="1">
        <v>0</v>
      </c>
      <c r="D20" s="1">
        <v>0</v>
      </c>
      <c r="E20" s="1">
        <f t="shared" ref="E20:E21" si="4">E21/100</f>
        <v>4.1629000000000006E-2</v>
      </c>
      <c r="F20" s="1">
        <f t="shared" ref="F20:F21" si="5">LOG(E20)</f>
        <v>-1.3806040214864657</v>
      </c>
    </row>
    <row r="21" spans="1:6" x14ac:dyDescent="0.2">
      <c r="A21" s="1">
        <v>100</v>
      </c>
      <c r="B21" s="1">
        <f t="shared" ref="B21:B23" si="6">LOG(A21)</f>
        <v>2</v>
      </c>
      <c r="C21" s="1">
        <v>3</v>
      </c>
      <c r="D21" s="1">
        <f t="shared" ref="D21:D23" si="7">LOG(C21)</f>
        <v>0.47712125471966244</v>
      </c>
      <c r="E21" s="1">
        <f t="shared" si="4"/>
        <v>4.1629000000000005</v>
      </c>
      <c r="F21" s="1">
        <f t="shared" si="5"/>
        <v>0.61939597851353434</v>
      </c>
    </row>
    <row r="22" spans="1:6" x14ac:dyDescent="0.2">
      <c r="A22" s="1">
        <v>1000</v>
      </c>
      <c r="B22" s="1">
        <f t="shared" si="6"/>
        <v>3</v>
      </c>
      <c r="C22" s="1">
        <v>411</v>
      </c>
      <c r="D22" s="1">
        <f t="shared" si="7"/>
        <v>2.6138418218760693</v>
      </c>
      <c r="E22" s="1">
        <f>E23/100</f>
        <v>416.29</v>
      </c>
      <c r="F22" s="1">
        <f>LOG(E22)</f>
        <v>2.6193959785135341</v>
      </c>
    </row>
    <row r="23" spans="1:6" x14ac:dyDescent="0.2">
      <c r="A23" s="1">
        <v>10000</v>
      </c>
      <c r="B23" s="1">
        <f t="shared" si="6"/>
        <v>4</v>
      </c>
      <c r="C23" s="1">
        <v>41629</v>
      </c>
      <c r="D23" s="1">
        <f t="shared" si="7"/>
        <v>4.6193959785135341</v>
      </c>
      <c r="E23" s="1">
        <f>C23</f>
        <v>41629</v>
      </c>
      <c r="F23" s="1">
        <f>LOG(E23)</f>
        <v>4.6193959785135341</v>
      </c>
    </row>
  </sheetData>
  <mergeCells count="8">
    <mergeCell ref="A18:F18"/>
    <mergeCell ref="A10:F10"/>
    <mergeCell ref="C2:C4"/>
    <mergeCell ref="C6:C7"/>
    <mergeCell ref="A2:A7"/>
    <mergeCell ref="E2:E7"/>
    <mergeCell ref="G2:G4"/>
    <mergeCell ref="G6:G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谷雨</dc:creator>
  <cp:lastModifiedBy>谷雨</cp:lastModifiedBy>
  <dcterms:created xsi:type="dcterms:W3CDTF">2023-05-05T06:59:04Z</dcterms:created>
  <dcterms:modified xsi:type="dcterms:W3CDTF">2023-05-05T11:36:39Z</dcterms:modified>
</cp:coreProperties>
</file>